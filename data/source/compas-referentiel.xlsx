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Courants" sheetId="2" state="visible" r:id="rId4"/>
    <sheet name="Tribunal" sheetId="3" state="visible" r:id="rId5"/>
    <sheet name="Relations" sheetId="4" state="visible" r:id="rId6"/>
    <sheet name="Thematiques" sheetId="5" state="visible" r:id="rId7"/>
    <sheet name="Criteres" sheetId="6" state="visible" r:id="rId8"/>
    <sheet name="Scores" sheetId="7" state="visible" r:id="rId9"/>
    <sheet name="Matrice_Economie" sheetId="8" state="visible" r:id="rId10"/>
    <sheet name="Listes" sheetId="9" state="visible" r:id="rId11"/>
  </sheets>
  <definedNames>
    <definedName function="false" hidden="true" localSheetId="1" name="_xlnm._FilterDatabase" vbProcedure="false">Courants!$A$1:$O$74</definedName>
    <definedName function="false" hidden="true" localSheetId="6" name="_xlnm._FilterDatabase" vbProcedure="false">Scores!$A$1:$K$263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2" authorId="0">
      <text>
        <r>
          <rPr>
            <sz val="10"/>
            <rFont val="Arial"/>
            <family val="2"/>
          </rPr>
          <t xml:space="preserve">Libellés provisoires de la maquette : Propriété, Marché, Redistribution, Planification, Commerce extérieur, Travail, Monnaie et finance. Remplace-les par les tiens.</t>
        </r>
      </text>
    </comment>
  </commentList>
</comments>
</file>

<file path=xl/sharedStrings.xml><?xml version="1.0" encoding="utf-8"?>
<sst xmlns="http://schemas.openxmlformats.org/spreadsheetml/2006/main" count="1222" uniqueCount="361">
  <si>
    <t xml:space="preserve">COMPAS — RÉFÉRENTIEL DE SAISIE</t>
  </si>
  <si>
    <t xml:space="preserve">Rôle</t>
  </si>
  <si>
    <t xml:space="preserve">Ce classeur est l'interface de saisie des données structurées du site. Il est importé par le script d'import (spec docs/specs/05-import-excel.md), qui génère les fichiers JSON de data/ et met à jour l'en-tête des fiches Markdown. Ne modifie plus les JSON à la main : c'est ce classeur qui fait foi.</t>
  </si>
  <si>
    <t xml:space="preserve">Ce qui ne va PAS ici</t>
  </si>
  <si>
    <t xml:space="preserve">Le texte rédigé des fiches (définition, principes fondamentaux, mises en œuvre historiques) s'écrit directement dans src/content/courants/&lt;id&gt;.md. Modèle : ecosocialisme.md.</t>
  </si>
  <si>
    <t xml:space="preserve">Emplacement du fichier</t>
  </si>
  <si>
    <t xml:space="preserve">data/source/compas-referentiel.xlsx dans le dépôt.</t>
  </si>
  <si>
    <t xml:space="preserve">LÉGENDE</t>
  </si>
  <si>
    <t xml:space="preserve">Cellule jaune</t>
  </si>
  <si>
    <t xml:space="preserve">À remplir par toi.</t>
  </si>
  <si>
    <t xml:space="preserve">Cellule grise</t>
  </si>
  <si>
    <t xml:space="preserve">Calculée par formule : ne pas modifier.</t>
  </si>
  <si>
    <t xml:space="preserve">Cellule blanche</t>
  </si>
  <si>
    <t xml:space="preserve">Pré-remplie (catalogue, relations, thématiques) : à corriger si besoin.</t>
  </si>
  <si>
    <t xml:space="preserve">Listes déroulantes</t>
  </si>
  <si>
    <t xml:space="preserve">Familles, modules, verdicts, types de relation, couches, statuts : les valeurs autorisées sont dans l'onglet Listes.</t>
  </si>
  <si>
    <t xml:space="preserve">CONVENTIONS</t>
  </si>
  <si>
    <t xml:space="preserve">Identifiants</t>
  </si>
  <si>
    <t xml:space="preserve">kebab-case, sans accents ni espaces : marxisme-leninisme, etat-pouvoir. Un identifiant ne change plus une fois publié.</t>
  </si>
  <si>
    <t xml:space="preserve">Valeurs multiples</t>
  </si>
  <si>
    <t xml:space="preserve">Séparées par « ; » : marxismes ; liberalismes</t>
  </si>
  <si>
    <t xml:space="preserve">Textes de référence</t>
  </si>
  <si>
    <t xml:space="preserve">Titre (Auteurs, année) ; Titre 2 (Auteur, année)</t>
  </si>
  <si>
    <t xml:space="preserve">Sources</t>
  </si>
  <si>
    <t xml:space="preserve">Référence complète ou URL, séparées par « ; ». Un score sans source est affiché comme provisoire.</t>
  </si>
  <si>
    <t xml:space="preserve">Notes</t>
  </si>
  <si>
    <t xml:space="preserve">De 0 à 10, décimales autorisées (6,5). Orientation fixée par le critère (Économie : 10 = pôle marchand).</t>
  </si>
  <si>
    <t xml:space="preserve">Fourchette</t>
  </si>
  <si>
    <t xml:space="preserve">min et max optionnels, quand le courant est ambigu sur le critère. Sinon, laisser vide.</t>
  </si>
  <si>
    <t xml:space="preserve">Couche</t>
  </si>
  <si>
    <t xml:space="preserve">doctrine = le courant tel qu'il se pense ; historique = ce qu'en ont fait les régimes qui s'en réclament (optionnel).</t>
  </si>
  <si>
    <t xml:space="preserve">Dates</t>
  </si>
  <si>
    <t xml:space="preserve">Repères de maquette à vérifier : passe a_verifier à « non » une fois la date sourcée.</t>
  </si>
  <si>
    <t xml:space="preserve">ORDRE DE SAISIE CONSEILLÉ</t>
  </si>
  <si>
    <t xml:space="preserve">1. Critères</t>
  </si>
  <si>
    <t xml:space="preserve">Reporter les 7 critères économiques de ton Excel d'origine (libellés, pôles, ancres), puis ceux d'État et pouvoir.</t>
  </si>
  <si>
    <t xml:space="preserve">2. Scores</t>
  </si>
  <si>
    <t xml:space="preserve">Onglet Scores : les lignes des 16 courants du MVP × 7 critères économiques sont prêtes. La colonne contrôle signale les oublis.</t>
  </si>
  <si>
    <t xml:space="preserve">3. Courants</t>
  </si>
  <si>
    <t xml:space="preserve">Compléter l'identité des courants du MVP (colonne mvp = oui), puis les autres.</t>
  </si>
  <si>
    <t xml:space="preserve">4. Tribunal et relations</t>
  </si>
  <si>
    <t xml:space="preserve">Ajouter les idées reçues et vérifier les filiations.</t>
  </si>
  <si>
    <t xml:space="preserve">EXEMPLE DE LIGNE (onglet Scores)</t>
  </si>
  <si>
    <t xml:space="preserve">courant : social-democratie · critere : eco-1 · couche : doctrine · valeur : 6 · min : 5 · max : 7 · conteste : non · justification : « Économie mixte, propriété privée dominante et secteur public stratégique » · sources : référence de l'ouvrage ou du texte programmatique</t>
  </si>
  <si>
    <t xml:space="preserve">Matrice_Economie</t>
  </si>
  <si>
    <t xml:space="preserve">Vue de contrôle en lecture seule : les notes doctrine de l'onglet Scores croisées courants × critères, avec une échelle de couleur.</t>
  </si>
  <si>
    <t xml:space="preserve">id</t>
  </si>
  <si>
    <t xml:space="preserve">nom</t>
  </si>
  <si>
    <t xml:space="preserve">famille</t>
  </si>
  <si>
    <t xml:space="preserve">lignees</t>
  </si>
  <si>
    <t xml:space="preserve">modules</t>
  </si>
  <si>
    <t xml:space="preserve">alias</t>
  </si>
  <si>
    <t xml:space="preserve">emergence_annee</t>
  </si>
  <si>
    <t xml:space="preserve">emergence_libelle</t>
  </si>
  <si>
    <t xml:space="preserve">a_verifier</t>
  </si>
  <si>
    <t xml:space="preserve">textes_reference</t>
  </si>
  <si>
    <t xml:space="preserve">figures</t>
  </si>
  <si>
    <t xml:space="preserve">en_dialogue_avec</t>
  </si>
  <si>
    <t xml:space="preserve">statut</t>
  </si>
  <si>
    <t xml:space="preserve">mvp</t>
  </si>
  <si>
    <t xml:space="preserve">sources</t>
  </si>
  <si>
    <t xml:space="preserve">liberalisme-classique</t>
  </si>
  <si>
    <t xml:space="preserve">Libéralisme classique</t>
  </si>
  <si>
    <t xml:space="preserve">liberalismes</t>
  </si>
  <si>
    <t xml:space="preserve">oui</t>
  </si>
  <si>
    <t xml:space="preserve">a_rediger</t>
  </si>
  <si>
    <t xml:space="preserve">minarchisme</t>
  </si>
  <si>
    <t xml:space="preserve">Minarchisme</t>
  </si>
  <si>
    <t xml:space="preserve">État minimal</t>
  </si>
  <si>
    <t xml:space="preserve">georgisme</t>
  </si>
  <si>
    <t xml:space="preserve">Géorgisme</t>
  </si>
  <si>
    <t xml:space="preserve">non</t>
  </si>
  <si>
    <t xml:space="preserve">social-liberalisme</t>
  </si>
  <si>
    <t xml:space="preserve">Social-libéralisme</t>
  </si>
  <si>
    <t xml:space="preserve">ordoliberalisme</t>
  </si>
  <si>
    <t xml:space="preserve">Ordolibéralisme</t>
  </si>
  <si>
    <t xml:space="preserve">neoliberalisme</t>
  </si>
  <si>
    <t xml:space="preserve">Néolibéralisme</t>
  </si>
  <si>
    <t xml:space="preserve">libertarianisme</t>
  </si>
  <si>
    <t xml:space="preserve">Libertarianisme</t>
  </si>
  <si>
    <t xml:space="preserve">jacobinisme</t>
  </si>
  <si>
    <t xml:space="preserve">Jacobinisme</t>
  </si>
  <si>
    <t xml:space="preserve">republicanismes</t>
  </si>
  <si>
    <t xml:space="preserve">radicalisme</t>
  </si>
  <si>
    <t xml:space="preserve">Radicalisme</t>
  </si>
  <si>
    <t xml:space="preserve">laicisme</t>
  </si>
  <si>
    <t xml:space="preserve">Laïcisme</t>
  </si>
  <si>
    <t xml:space="preserve">neo-republicanisme</t>
  </si>
  <si>
    <t xml:space="preserve">Néo-républicanisme</t>
  </si>
  <si>
    <t xml:space="preserve">socialisme-utopique</t>
  </si>
  <si>
    <t xml:space="preserve">Socialisme utopique</t>
  </si>
  <si>
    <t xml:space="preserve">socialismes</t>
  </si>
  <si>
    <t xml:space="preserve">cooperatisme</t>
  </si>
  <si>
    <t xml:space="preserve">Coopératisme</t>
  </si>
  <si>
    <t xml:space="preserve">social-democratie</t>
  </si>
  <si>
    <t xml:space="preserve">Social-démocratie</t>
  </si>
  <si>
    <t xml:space="preserve">marxismes</t>
  </si>
  <si>
    <t xml:space="preserve">distributisme</t>
  </si>
  <si>
    <t xml:space="preserve">Distributisme</t>
  </si>
  <si>
    <t xml:space="preserve">conservatismes</t>
  </si>
  <si>
    <t xml:space="preserve">socialisme-democratique</t>
  </si>
  <si>
    <t xml:space="preserve">Socialisme démocratique</t>
  </si>
  <si>
    <t xml:space="preserve">marxisme</t>
  </si>
  <si>
    <t xml:space="preserve">Marxisme</t>
  </si>
  <si>
    <t xml:space="preserve">Communisme (théorie)</t>
  </si>
  <si>
    <t xml:space="preserve">leninisme</t>
  </si>
  <si>
    <t xml:space="preserve">Léninisme</t>
  </si>
  <si>
    <t xml:space="preserve">marxisme-leninisme</t>
  </si>
  <si>
    <t xml:space="preserve">Marxisme-léninisme</t>
  </si>
  <si>
    <t xml:space="preserve">conseillisme</t>
  </si>
  <si>
    <t xml:space="preserve">Conseillisme</t>
  </si>
  <si>
    <t xml:space="preserve">trotskysme</t>
  </si>
  <si>
    <t xml:space="preserve">Trotskysme</t>
  </si>
  <si>
    <t xml:space="preserve">maoisme</t>
  </si>
  <si>
    <t xml:space="preserve">Maoïsme</t>
  </si>
  <si>
    <t xml:space="preserve">posadisme</t>
  </si>
  <si>
    <t xml:space="preserve">Posadisme</t>
  </si>
  <si>
    <t xml:space="preserve">eurocommunisme</t>
  </si>
  <si>
    <t xml:space="preserve">Eurocommunisme</t>
  </si>
  <si>
    <t xml:space="preserve">mutuellisme</t>
  </si>
  <si>
    <t xml:space="preserve">Mutuellisme</t>
  </si>
  <si>
    <t xml:space="preserve">anarchismes</t>
  </si>
  <si>
    <t xml:space="preserve">anarcho-communisme</t>
  </si>
  <si>
    <t xml:space="preserve">Anarcho-communisme</t>
  </si>
  <si>
    <t xml:space="preserve">anarcho-syndicalisme</t>
  </si>
  <si>
    <t xml:space="preserve">Anarcho-syndicalisme</t>
  </si>
  <si>
    <t xml:space="preserve">anarcho-capitalisme</t>
  </si>
  <si>
    <t xml:space="preserve">Anarcho-capitalisme</t>
  </si>
  <si>
    <t xml:space="preserve">communalisme</t>
  </si>
  <si>
    <t xml:space="preserve">Communalisme</t>
  </si>
  <si>
    <t xml:space="preserve">ecologismes</t>
  </si>
  <si>
    <t xml:space="preserve">Écologie sociale</t>
  </si>
  <si>
    <t xml:space="preserve">conservatisme-burkeen</t>
  </si>
  <si>
    <t xml:space="preserve">Conservatisme burkéen</t>
  </si>
  <si>
    <t xml:space="preserve">democratie-chretienne</t>
  </si>
  <si>
    <t xml:space="preserve">Démocratie chrétienne</t>
  </si>
  <si>
    <t xml:space="preserve">religieux</t>
  </si>
  <si>
    <t xml:space="preserve">corporatisme</t>
  </si>
  <si>
    <t xml:space="preserve">Corporatisme</t>
  </si>
  <si>
    <t xml:space="preserve">fascismes</t>
  </si>
  <si>
    <t xml:space="preserve">gaullisme</t>
  </si>
  <si>
    <t xml:space="preserve">Gaullisme</t>
  </si>
  <si>
    <t xml:space="preserve">autoritarismes</t>
  </si>
  <si>
    <t xml:space="preserve">neoconservatisme</t>
  </si>
  <si>
    <t xml:space="preserve">Néoconservatisme</t>
  </si>
  <si>
    <t xml:space="preserve">paleoconservatisme</t>
  </si>
  <si>
    <t xml:space="preserve">Paléoconservatisme</t>
  </si>
  <si>
    <t xml:space="preserve">conservatisme-liberal</t>
  </si>
  <si>
    <t xml:space="preserve">Conservatisme libéral</t>
  </si>
  <si>
    <t xml:space="preserve">Libéral-conservatisme</t>
  </si>
  <si>
    <t xml:space="preserve">contre-revolution</t>
  </si>
  <si>
    <t xml:space="preserve">Contre-révolution</t>
  </si>
  <si>
    <t xml:space="preserve">traditionalismes</t>
  </si>
  <si>
    <t xml:space="preserve">maurrassisme</t>
  </si>
  <si>
    <t xml:space="preserve">Maurrassisme</t>
  </si>
  <si>
    <t xml:space="preserve">traditionalisme-integral</t>
  </si>
  <si>
    <t xml:space="preserve">Traditionalisme intégral</t>
  </si>
  <si>
    <t xml:space="preserve">archeofuturisme</t>
  </si>
  <si>
    <t xml:space="preserve">Archéofuturisme</t>
  </si>
  <si>
    <t xml:space="preserve">technopolitiques</t>
  </si>
  <si>
    <t xml:space="preserve">neoreaction</t>
  </si>
  <si>
    <t xml:space="preserve">Néoréaction</t>
  </si>
  <si>
    <t xml:space="preserve">Lumières sombres ; Dark Enlightenment</t>
  </si>
  <si>
    <t xml:space="preserve">fascisme-italien</t>
  </si>
  <si>
    <t xml:space="preserve">Fascisme italien</t>
  </si>
  <si>
    <t xml:space="preserve">Fascisme</t>
  </si>
  <si>
    <t xml:space="preserve">nazisme</t>
  </si>
  <si>
    <t xml:space="preserve">Nazisme</t>
  </si>
  <si>
    <t xml:space="preserve">National-socialisme</t>
  </si>
  <si>
    <t xml:space="preserve">phalangisme</t>
  </si>
  <si>
    <t xml:space="preserve">Phalangisme</t>
  </si>
  <si>
    <t xml:space="preserve">neofascisme</t>
  </si>
  <si>
    <t xml:space="preserve">Néofascisme</t>
  </si>
  <si>
    <t xml:space="preserve">absolutisme</t>
  </si>
  <si>
    <t xml:space="preserve">Absolutisme</t>
  </si>
  <si>
    <t xml:space="preserve">Monarchisme absolu</t>
  </si>
  <si>
    <t xml:space="preserve">bonapartisme</t>
  </si>
  <si>
    <t xml:space="preserve">Bonapartisme</t>
  </si>
  <si>
    <t xml:space="preserve">caudillisme</t>
  </si>
  <si>
    <t xml:space="preserve">Caudillisme</t>
  </si>
  <si>
    <t xml:space="preserve">developpementalisme-autoritaire</t>
  </si>
  <si>
    <t xml:space="preserve">Développementalisme autoritaire</t>
  </si>
  <si>
    <t xml:space="preserve">environnementalisme</t>
  </si>
  <si>
    <t xml:space="preserve">Environnementalisme</t>
  </si>
  <si>
    <t xml:space="preserve">ecologie-profonde</t>
  </si>
  <si>
    <t xml:space="preserve">Écologie profonde</t>
  </si>
  <si>
    <t xml:space="preserve">ecologie-politique</t>
  </si>
  <si>
    <t xml:space="preserve">Écologie politique</t>
  </si>
  <si>
    <t xml:space="preserve">ecosocialisme</t>
  </si>
  <si>
    <t xml:space="preserve">Écosocialisme</t>
  </si>
  <si>
    <t xml:space="preserve">Années 1970 – 1980</t>
  </si>
  <si>
    <t xml:space="preserve">Manifeste écosocialiste (Joel Kovel, Michael Löwy, 2001)</t>
  </si>
  <si>
    <t xml:space="preserve">André Gorz ; Michael Löwy ; Joel Kovel</t>
  </si>
  <si>
    <t xml:space="preserve">decroissance ; communalisme</t>
  </si>
  <si>
    <t xml:space="preserve">brouillon</t>
  </si>
  <si>
    <t xml:space="preserve">decroissance</t>
  </si>
  <si>
    <t xml:space="preserve">Décroissance</t>
  </si>
  <si>
    <t xml:space="preserve">ecofascisme</t>
  </si>
  <si>
    <t xml:space="preserve">Écofascisme</t>
  </si>
  <si>
    <t xml:space="preserve">feminisme-liberal</t>
  </si>
  <si>
    <t xml:space="preserve">Féminisme libéral</t>
  </si>
  <si>
    <t xml:space="preserve">emancipations</t>
  </si>
  <si>
    <t xml:space="preserve">Féminisme (origines)</t>
  </si>
  <si>
    <t xml:space="preserve">feminisme-radical</t>
  </si>
  <si>
    <t xml:space="preserve">Féminisme radical</t>
  </si>
  <si>
    <t xml:space="preserve">intersectionnalite</t>
  </si>
  <si>
    <t xml:space="preserve">Intersectionnalité</t>
  </si>
  <si>
    <t xml:space="preserve">decolonialisme</t>
  </si>
  <si>
    <t xml:space="preserve">Décolonialisme</t>
  </si>
  <si>
    <t xml:space="preserve">anticolonialismes</t>
  </si>
  <si>
    <t xml:space="preserve">panafricanisme</t>
  </si>
  <si>
    <t xml:space="preserve">Panafricanisme</t>
  </si>
  <si>
    <t xml:space="preserve">baasisme</t>
  </si>
  <si>
    <t xml:space="preserve">Baasisme</t>
  </si>
  <si>
    <t xml:space="preserve">nasserisme</t>
  </si>
  <si>
    <t xml:space="preserve">Nassérisme</t>
  </si>
  <si>
    <t xml:space="preserve">non-alignement</t>
  </si>
  <si>
    <t xml:space="preserve">Non-alignement</t>
  </si>
  <si>
    <t xml:space="preserve">bolivarisme</t>
  </si>
  <si>
    <t xml:space="preserve">Bolivarisme</t>
  </si>
  <si>
    <t xml:space="preserve">hindutva</t>
  </si>
  <si>
    <t xml:space="preserve">Hindutva</t>
  </si>
  <si>
    <t xml:space="preserve">islamisme</t>
  </si>
  <si>
    <t xml:space="preserve">Islamisme</t>
  </si>
  <si>
    <t xml:space="preserve">integralisme-catholique</t>
  </si>
  <si>
    <t xml:space="preserve">Intégralisme catholique</t>
  </si>
  <si>
    <t xml:space="preserve">theocratie</t>
  </si>
  <si>
    <t xml:space="preserve">Théocratie</t>
  </si>
  <si>
    <t xml:space="preserve">theologie-de-la-liberation</t>
  </si>
  <si>
    <t xml:space="preserve">Théologie de la libération</t>
  </si>
  <si>
    <t xml:space="preserve">technocratie</t>
  </si>
  <si>
    <t xml:space="preserve">Technocratie</t>
  </si>
  <si>
    <t xml:space="preserve">transhumanisme</t>
  </si>
  <si>
    <t xml:space="preserve">Transhumanisme</t>
  </si>
  <si>
    <t xml:space="preserve">neocameralisme</t>
  </si>
  <si>
    <t xml:space="preserve">Néocaméralisme</t>
  </si>
  <si>
    <t xml:space="preserve">accelerationnisme</t>
  </si>
  <si>
    <t xml:space="preserve">Accélérationnisme</t>
  </si>
  <si>
    <t xml:space="preserve">courant</t>
  </si>
  <si>
    <t xml:space="preserve">idee</t>
  </si>
  <si>
    <t xml:space="preserve">verdict</t>
  </si>
  <si>
    <t xml:space="preserve">explication</t>
  </si>
  <si>
    <t xml:space="preserve">C’est du communisme repeint en vert.</t>
  </si>
  <si>
    <t xml:space="preserve">nuance</t>
  </si>
  <si>
    <t xml:space="preserve">La filiation marxiste est revendiquée. Mais le courant se construit aussi contre le productivisme des régimes soviétiques, dont il souligne le bilan écologique.</t>
  </si>
  <si>
    <t xml:space="preserve">Il veut supprimer toute croissance.</t>
  </si>
  <si>
    <t xml:space="preserve">Plusieurs auteurs défendent une décroissance sélective : réduire certains secteurs et en développer d’autres. La décroissance générale est la thèse d’un courant voisin, pas une position commune.</t>
  </si>
  <si>
    <t xml:space="preserve">source</t>
  </si>
  <si>
    <t xml:space="preserve">cible</t>
  </si>
  <si>
    <t xml:space="preserve">type</t>
  </si>
  <si>
    <t xml:space="preserve">date</t>
  </si>
  <si>
    <t xml:space="preserve">note</t>
  </si>
  <si>
    <t xml:space="preserve">derive</t>
  </si>
  <si>
    <t xml:space="preserve">synthese</t>
  </si>
  <si>
    <t xml:space="preserve">ordre</t>
  </si>
  <si>
    <t xml:space="preserve">pole0</t>
  </si>
  <si>
    <t xml:space="preserve">pole10</t>
  </si>
  <si>
    <t xml:space="preserve">poles_valides</t>
  </si>
  <si>
    <t xml:space="preserve">orientation</t>
  </si>
  <si>
    <t xml:space="preserve">economie</t>
  </si>
  <si>
    <t xml:space="preserve">Économie</t>
  </si>
  <si>
    <t xml:space="preserve">Planifié</t>
  </si>
  <si>
    <t xml:space="preserve">Marchand</t>
  </si>
  <si>
    <t xml:space="preserve">10 = pôle marchand sur chaque critère</t>
  </si>
  <si>
    <t xml:space="preserve">barème partiel : orientation fixée (10 = pôle marchand), 7 critères à reprendre de l'Excel</t>
  </si>
  <si>
    <t xml:space="preserve">etat-pouvoir</t>
  </si>
  <si>
    <t xml:space="preserve">État et pouvoir</t>
  </si>
  <si>
    <t xml:space="preserve">Sans État</t>
  </si>
  <si>
    <t xml:space="preserve">État total</t>
  </si>
  <si>
    <t xml:space="preserve">grille construite, barème à établir</t>
  </si>
  <si>
    <t xml:space="preserve">individu-societe</t>
  </si>
  <si>
    <t xml:space="preserve">Individu et société</t>
  </si>
  <si>
    <t xml:space="preserve">Primauté du collectif</t>
  </si>
  <si>
    <t xml:space="preserve">Primauté de l'individu</t>
  </si>
  <si>
    <t xml:space="preserve">temps-changement</t>
  </si>
  <si>
    <t xml:space="preserve">Temps et changement</t>
  </si>
  <si>
    <t xml:space="preserve">Restauration</t>
  </si>
  <si>
    <t xml:space="preserve">Rupture</t>
  </si>
  <si>
    <t xml:space="preserve">nation-identite</t>
  </si>
  <si>
    <t xml:space="preserve">Nation et identité</t>
  </si>
  <si>
    <t xml:space="preserve">Universalisme</t>
  </si>
  <si>
    <t xml:space="preserve">Primauté nationale</t>
  </si>
  <si>
    <t xml:space="preserve">epistemologie</t>
  </si>
  <si>
    <t xml:space="preserve">Épistémologie</t>
  </si>
  <si>
    <t xml:space="preserve">Tradition, révélation</t>
  </si>
  <si>
    <t xml:space="preserve">Raison critique</t>
  </si>
  <si>
    <t xml:space="preserve">ecologie</t>
  </si>
  <si>
    <t xml:space="preserve">Écologie</t>
  </si>
  <si>
    <t xml:space="preserve">Productivisme</t>
  </si>
  <si>
    <t xml:space="preserve">Primauté du vivant</t>
  </si>
  <si>
    <t xml:space="preserve">violence</t>
  </si>
  <si>
    <t xml:space="preserve">Violence</t>
  </si>
  <si>
    <t xml:space="preserve">Non-violence</t>
  </si>
  <si>
    <t xml:space="preserve">Violence légitimée</t>
  </si>
  <si>
    <t xml:space="preserve">religion-morale</t>
  </si>
  <si>
    <t xml:space="preserve">Religion et morale</t>
  </si>
  <si>
    <t xml:space="preserve">Sécularisme</t>
  </si>
  <si>
    <t xml:space="preserve">Norme religieuse</t>
  </si>
  <si>
    <t xml:space="preserve">genre-famille-moeurs</t>
  </si>
  <si>
    <t xml:space="preserve">Genre, famille, mœurs</t>
  </si>
  <si>
    <t xml:space="preserve">Ordre traditionnel</t>
  </si>
  <si>
    <t xml:space="preserve">Égalité, libre choix</t>
  </si>
  <si>
    <t xml:space="preserve">theme</t>
  </si>
  <si>
    <t xml:space="preserve">libelle</t>
  </si>
  <si>
    <t xml:space="preserve">ancre_0</t>
  </si>
  <si>
    <t xml:space="preserve">ancre_2_5</t>
  </si>
  <si>
    <t xml:space="preserve">ancre_5</t>
  </si>
  <si>
    <t xml:space="preserve">ancre_7_5</t>
  </si>
  <si>
    <t xml:space="preserve">ancre_10</t>
  </si>
  <si>
    <t xml:space="preserve">eco-1</t>
  </si>
  <si>
    <t xml:space="preserve">eco-2</t>
  </si>
  <si>
    <t xml:space="preserve">eco-3</t>
  </si>
  <si>
    <t xml:space="preserve">eco-4</t>
  </si>
  <si>
    <t xml:space="preserve">eco-5</t>
  </si>
  <si>
    <t xml:space="preserve">eco-6</t>
  </si>
  <si>
    <t xml:space="preserve">eco-7</t>
  </si>
  <si>
    <t xml:space="preserve">critere</t>
  </si>
  <si>
    <t xml:space="preserve">couche</t>
  </si>
  <si>
    <t xml:space="preserve">valeur</t>
  </si>
  <si>
    <t xml:space="preserve">min</t>
  </si>
  <si>
    <t xml:space="preserve">max</t>
  </si>
  <si>
    <t xml:space="preserve">conteste</t>
  </si>
  <si>
    <t xml:space="preserve">justification</t>
  </si>
  <si>
    <t xml:space="preserve">controle</t>
  </si>
  <si>
    <t xml:space="preserve">doctrine</t>
  </si>
  <si>
    <t xml:space="preserve">nb notes</t>
  </si>
  <si>
    <t xml:space="preserve">Lecture : 0 = pôle planifié (rouge), 10 = pôle marchand (ocre). Vue en lecture seule, alimentée par l'onglet Scores.</t>
  </si>
  <si>
    <t xml:space="preserve">familles</t>
  </si>
  <si>
    <t xml:space="preserve">nom famille</t>
  </si>
  <si>
    <t xml:space="preserve">verdicts</t>
  </si>
  <si>
    <t xml:space="preserve">types_relation</t>
  </si>
  <si>
    <t xml:space="preserve">couches</t>
  </si>
  <si>
    <t xml:space="preserve">statuts</t>
  </si>
  <si>
    <t xml:space="preserve">oui_non</t>
  </si>
  <si>
    <t xml:space="preserve">Libéralismes</t>
  </si>
  <si>
    <t xml:space="preserve">nationalisme</t>
  </si>
  <si>
    <t xml:space="preserve">vrai</t>
  </si>
  <si>
    <t xml:space="preserve">Républicanismes</t>
  </si>
  <si>
    <t xml:space="preserve">populisme</t>
  </si>
  <si>
    <t xml:space="preserve">faux</t>
  </si>
  <si>
    <t xml:space="preserve">historique</t>
  </si>
  <si>
    <t xml:space="preserve">Socialismes</t>
  </si>
  <si>
    <t xml:space="preserve">religiosite</t>
  </si>
  <si>
    <t xml:space="preserve">rupture</t>
  </si>
  <si>
    <t xml:space="preserve">relu</t>
  </si>
  <si>
    <t xml:space="preserve">Marxismes</t>
  </si>
  <si>
    <t xml:space="preserve">technophilie</t>
  </si>
  <si>
    <t xml:space="preserve">depend</t>
  </si>
  <si>
    <t xml:space="preserve">opposition</t>
  </si>
  <si>
    <t xml:space="preserve">publie</t>
  </si>
  <si>
    <t xml:space="preserve">Anarchismes</t>
  </si>
  <si>
    <t xml:space="preserve">souverainisme</t>
  </si>
  <si>
    <t xml:space="preserve">Conservatismes</t>
  </si>
  <si>
    <t xml:space="preserve">Traditionalismes et réaction</t>
  </si>
  <si>
    <t xml:space="preserve">Fascismes</t>
  </si>
  <si>
    <t xml:space="preserve">Autoritarismes non fascistes</t>
  </si>
  <si>
    <t xml:space="preserve">Écologismes</t>
  </si>
  <si>
    <t xml:space="preserve">Émancipations</t>
  </si>
  <si>
    <t xml:space="preserve">Anticolonialismes et tiers-mondismes</t>
  </si>
  <si>
    <t xml:space="preserve">Politiques religieuses</t>
  </si>
  <si>
    <t xml:space="preserve">Technopolitiques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</si>
</sst>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93"/>
      <name val="Arial"/>
      <family val="0"/>
      <charset val="1"/>
    </font>
    <font>
      <b val="true"/>
      <sz val="10"/>
      <color rgb="FF15171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9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A8"/>
        <bgColor rgb="FFEEF0F3"/>
      </patternFill>
    </fill>
    <fill>
      <patternFill patternType="solid">
        <fgColor rgb="FFEEF0F3"/>
        <bgColor rgb="FFFFFFFF"/>
      </patternFill>
    </fill>
    <fill>
      <patternFill patternType="solid">
        <fgColor rgb="FF1F3A93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ADDE3"/>
      </left>
      <right style="thin">
        <color rgb="FFDADDE3"/>
      </right>
      <top style="thin">
        <color rgb="FFDADDE3"/>
      </top>
      <bottom style="thin">
        <color rgb="FFDA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A9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A8"/>
          <bgColor rgb="FF000000"/>
        </patternFill>
      </fill>
    </dxf>
    <dxf>
      <fill>
        <patternFill patternType="solid">
          <fgColor rgb="FFEEF0F3"/>
          <bgColor rgb="FF000000"/>
        </patternFill>
      </fill>
    </dxf>
    <dxf>
      <fill>
        <patternFill patternType="solid">
          <fgColor rgb="FF9C2A00"/>
          <bgColor rgb="FF000000"/>
        </patternFill>
      </fill>
    </dxf>
    <dxf>
      <font>
        <name val="Arial"/>
        <charset val="1"/>
        <family val="0"/>
        <b val="1"/>
        <color rgb="FF9C2A0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0F3"/>
      <rgbColor rgb="FFCCFFFF"/>
      <rgbColor rgb="FF660066"/>
      <rgbColor rgb="FFFF8080"/>
      <rgbColor rgb="FF0066CC"/>
      <rgbColor rgb="FFDA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5171C"/>
      <rgbColor rgb="FF333300"/>
      <rgbColor rgb="FF9C2A00"/>
      <rgbColor rgb="FF993366"/>
      <rgbColor rgb="FF1F3A93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35.05" hidden="false" customHeight="false" outlineLevel="0" collapsed="false">
      <c r="A2" s="2" t="s">
        <v>1</v>
      </c>
      <c r="B2" s="3" t="s">
        <v>2</v>
      </c>
    </row>
    <row r="3" customFormat="false" ht="23.85" hidden="false" customHeight="false" outlineLevel="0" collapsed="false">
      <c r="A3" s="2" t="s">
        <v>3</v>
      </c>
      <c r="B3" s="3" t="s">
        <v>4</v>
      </c>
    </row>
    <row r="4" customFormat="false" ht="15" hidden="false" customHeight="false" outlineLevel="0" collapsed="false">
      <c r="A4" s="2" t="s">
        <v>5</v>
      </c>
      <c r="B4" s="3" t="s">
        <v>6</v>
      </c>
    </row>
    <row r="5" customFormat="false" ht="15" hidden="false" customHeight="false" outlineLevel="0" collapsed="false">
      <c r="A5" s="4"/>
    </row>
    <row r="6" customFormat="false" ht="15" hidden="false" customHeight="false" outlineLevel="0" collapsed="false">
      <c r="A6" s="4" t="s">
        <v>7</v>
      </c>
    </row>
    <row r="7" customFormat="false" ht="15" hidden="false" customHeight="false" outlineLevel="0" collapsed="false">
      <c r="A7" s="2" t="s">
        <v>8</v>
      </c>
      <c r="B7" s="5" t="s">
        <v>9</v>
      </c>
    </row>
    <row r="8" customFormat="false" ht="15" hidden="false" customHeight="false" outlineLevel="0" collapsed="false">
      <c r="A8" s="2" t="s">
        <v>10</v>
      </c>
      <c r="B8" s="6" t="s">
        <v>11</v>
      </c>
    </row>
    <row r="9" customFormat="false" ht="15" hidden="false" customHeight="false" outlineLevel="0" collapsed="false">
      <c r="A9" s="2" t="s">
        <v>12</v>
      </c>
      <c r="B9" s="3" t="s">
        <v>13</v>
      </c>
    </row>
    <row r="10" customFormat="false" ht="15" hidden="false" customHeight="false" outlineLevel="0" collapsed="false">
      <c r="A10" s="2" t="s">
        <v>14</v>
      </c>
      <c r="B10" s="3" t="s">
        <v>15</v>
      </c>
    </row>
    <row r="11" customFormat="false" ht="15" hidden="false" customHeight="false" outlineLevel="0" collapsed="false">
      <c r="A11" s="4"/>
    </row>
    <row r="12" customFormat="false" ht="15" hidden="false" customHeight="false" outlineLevel="0" collapsed="false">
      <c r="A12" s="4" t="s">
        <v>16</v>
      </c>
    </row>
    <row r="13" customFormat="false" ht="15" hidden="false" customHeight="false" outlineLevel="0" collapsed="false">
      <c r="A13" s="2" t="s">
        <v>17</v>
      </c>
      <c r="B13" s="3" t="s">
        <v>18</v>
      </c>
    </row>
    <row r="14" customFormat="false" ht="15" hidden="false" customHeight="false" outlineLevel="0" collapsed="false">
      <c r="A14" s="2" t="s">
        <v>19</v>
      </c>
      <c r="B14" s="3" t="s">
        <v>20</v>
      </c>
    </row>
    <row r="15" customFormat="false" ht="15" hidden="false" customHeight="false" outlineLevel="0" collapsed="false">
      <c r="A15" s="2" t="s">
        <v>21</v>
      </c>
      <c r="B15" s="3" t="s">
        <v>22</v>
      </c>
    </row>
    <row r="16" customFormat="false" ht="15" hidden="false" customHeight="false" outlineLevel="0" collapsed="false">
      <c r="A16" s="2" t="s">
        <v>23</v>
      </c>
      <c r="B16" s="3" t="s">
        <v>24</v>
      </c>
    </row>
    <row r="17" customFormat="false" ht="15" hidden="false" customHeight="false" outlineLevel="0" collapsed="false">
      <c r="A17" s="2" t="s">
        <v>25</v>
      </c>
      <c r="B17" s="3" t="s">
        <v>26</v>
      </c>
    </row>
    <row r="18" customFormat="false" ht="15" hidden="false" customHeight="false" outlineLevel="0" collapsed="false">
      <c r="A18" s="2" t="s">
        <v>27</v>
      </c>
      <c r="B18" s="3" t="s">
        <v>28</v>
      </c>
    </row>
    <row r="19" customFormat="false" ht="15" hidden="false" customHeight="false" outlineLevel="0" collapsed="false">
      <c r="A19" s="2" t="s">
        <v>29</v>
      </c>
      <c r="B19" s="3" t="s">
        <v>30</v>
      </c>
    </row>
    <row r="20" customFormat="false" ht="15" hidden="false" customHeight="false" outlineLevel="0" collapsed="false">
      <c r="A20" s="2" t="s">
        <v>31</v>
      </c>
      <c r="B20" s="3" t="s">
        <v>32</v>
      </c>
    </row>
    <row r="21" customFormat="false" ht="15" hidden="false" customHeight="false" outlineLevel="0" collapsed="false">
      <c r="A21" s="4"/>
    </row>
    <row r="22" customFormat="false" ht="15" hidden="false" customHeight="false" outlineLevel="0" collapsed="false">
      <c r="A22" s="4" t="s">
        <v>33</v>
      </c>
    </row>
    <row r="23" customFormat="false" ht="15" hidden="false" customHeight="false" outlineLevel="0" collapsed="false">
      <c r="A23" s="2" t="s">
        <v>34</v>
      </c>
      <c r="B23" s="3" t="s">
        <v>35</v>
      </c>
    </row>
    <row r="24" customFormat="false" ht="15" hidden="false" customHeight="false" outlineLevel="0" collapsed="false">
      <c r="A24" s="2" t="s">
        <v>36</v>
      </c>
      <c r="B24" s="3" t="s">
        <v>37</v>
      </c>
    </row>
    <row r="25" customFormat="false" ht="15" hidden="false" customHeight="false" outlineLevel="0" collapsed="false">
      <c r="A25" s="2" t="s">
        <v>38</v>
      </c>
      <c r="B25" s="3" t="s">
        <v>39</v>
      </c>
    </row>
    <row r="26" customFormat="false" ht="15" hidden="false" customHeight="false" outlineLevel="0" collapsed="false">
      <c r="A26" s="2" t="s">
        <v>40</v>
      </c>
      <c r="B26" s="3" t="s">
        <v>41</v>
      </c>
    </row>
    <row r="27" customFormat="false" ht="15" hidden="false" customHeight="false" outlineLevel="0" collapsed="false">
      <c r="A27" s="4"/>
    </row>
    <row r="28" customFormat="false" ht="23.85" hidden="false" customHeight="false" outlineLevel="0" collapsed="false">
      <c r="A28" s="2" t="s">
        <v>42</v>
      </c>
      <c r="B28" s="3" t="s">
        <v>43</v>
      </c>
    </row>
    <row r="29" customFormat="false" ht="15" hidden="false" customHeight="false" outlineLevel="0" collapsed="false">
      <c r="A29" s="4"/>
    </row>
    <row r="30" customFormat="false" ht="15" hidden="false" customHeight="false" outlineLevel="0" collapsed="false">
      <c r="A30" s="2" t="s">
        <v>44</v>
      </c>
      <c r="B30" s="3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9"/>
    <col collapsed="false" customWidth="true" hidden="false" outlineLevel="0" max="10" min="10" style="0" width="40"/>
    <col collapsed="false" customWidth="true" hidden="false" outlineLevel="0" max="11" min="11" style="0" width="32"/>
    <col collapsed="false" customWidth="true" hidden="false" outlineLevel="0" max="12" min="12" style="0" width="28"/>
    <col collapsed="false" customWidth="true" hidden="false" outlineLevel="0" max="13" min="13" style="0" width="12"/>
    <col collapsed="false" customWidth="true" hidden="false" outlineLevel="0" max="14" min="14" style="0" width="7"/>
    <col collapsed="false" customWidth="true" hidden="false" outlineLevel="0" max="15" min="15" style="0" width="40"/>
  </cols>
  <sheetData>
    <row r="1" customFormat="false" ht="30" hidden="false" customHeight="true" outlineLevel="0" collapsed="false">
      <c r="A1" s="7" t="s">
        <v>46</v>
      </c>
      <c r="B1" s="7" t="s">
        <v>47</v>
      </c>
      <c r="C1" s="7" t="s">
        <v>48</v>
      </c>
      <c r="D1" s="7" t="s">
        <v>49</v>
      </c>
      <c r="E1" s="7" t="s">
        <v>50</v>
      </c>
      <c r="F1" s="7" t="s">
        <v>51</v>
      </c>
      <c r="G1" s="7" t="s">
        <v>52</v>
      </c>
      <c r="H1" s="7" t="s">
        <v>53</v>
      </c>
      <c r="I1" s="7" t="s">
        <v>54</v>
      </c>
      <c r="J1" s="7" t="s">
        <v>55</v>
      </c>
      <c r="K1" s="7" t="s">
        <v>56</v>
      </c>
      <c r="L1" s="7" t="s">
        <v>57</v>
      </c>
      <c r="M1" s="7" t="s">
        <v>58</v>
      </c>
      <c r="N1" s="7" t="s">
        <v>59</v>
      </c>
      <c r="O1" s="7" t="s">
        <v>60</v>
      </c>
    </row>
    <row r="2" customFormat="false" ht="15" hidden="false" customHeight="false" outlineLevel="0" collapsed="false">
      <c r="A2" s="8" t="s">
        <v>61</v>
      </c>
      <c r="B2" s="8" t="s">
        <v>62</v>
      </c>
      <c r="C2" s="8" t="s">
        <v>63</v>
      </c>
      <c r="D2" s="8"/>
      <c r="E2" s="9"/>
      <c r="F2" s="8"/>
      <c r="G2" s="8" t="n">
        <v>1776</v>
      </c>
      <c r="H2" s="9"/>
      <c r="I2" s="8" t="s">
        <v>64</v>
      </c>
      <c r="J2" s="9"/>
      <c r="K2" s="9"/>
      <c r="L2" s="9"/>
      <c r="M2" s="8" t="s">
        <v>65</v>
      </c>
      <c r="N2" s="8" t="s">
        <v>64</v>
      </c>
      <c r="O2" s="9"/>
    </row>
    <row r="3" customFormat="false" ht="15" hidden="false" customHeight="false" outlineLevel="0" collapsed="false">
      <c r="A3" s="8" t="s">
        <v>66</v>
      </c>
      <c r="B3" s="8" t="s">
        <v>67</v>
      </c>
      <c r="C3" s="8" t="s">
        <v>63</v>
      </c>
      <c r="D3" s="8"/>
      <c r="E3" s="9"/>
      <c r="F3" s="8" t="s">
        <v>68</v>
      </c>
      <c r="G3" s="8"/>
      <c r="H3" s="9"/>
      <c r="I3" s="8"/>
      <c r="J3" s="9"/>
      <c r="K3" s="9"/>
      <c r="L3" s="9"/>
      <c r="M3" s="8" t="s">
        <v>65</v>
      </c>
      <c r="N3" s="8" t="s">
        <v>64</v>
      </c>
      <c r="O3" s="9"/>
    </row>
    <row r="4" customFormat="false" ht="15" hidden="false" customHeight="false" outlineLevel="0" collapsed="false">
      <c r="A4" s="8" t="s">
        <v>69</v>
      </c>
      <c r="B4" s="8" t="s">
        <v>70</v>
      </c>
      <c r="C4" s="8" t="s">
        <v>63</v>
      </c>
      <c r="D4" s="8"/>
      <c r="E4" s="9"/>
      <c r="F4" s="8"/>
      <c r="G4" s="8" t="n">
        <v>1879</v>
      </c>
      <c r="H4" s="9"/>
      <c r="I4" s="8" t="s">
        <v>64</v>
      </c>
      <c r="J4" s="9"/>
      <c r="K4" s="9"/>
      <c r="L4" s="9"/>
      <c r="M4" s="8" t="s">
        <v>65</v>
      </c>
      <c r="N4" s="8" t="s">
        <v>71</v>
      </c>
      <c r="O4" s="9"/>
    </row>
    <row r="5" customFormat="false" ht="15" hidden="false" customHeight="false" outlineLevel="0" collapsed="false">
      <c r="A5" s="8" t="s">
        <v>72</v>
      </c>
      <c r="B5" s="8" t="s">
        <v>73</v>
      </c>
      <c r="C5" s="8" t="s">
        <v>63</v>
      </c>
      <c r="D5" s="8"/>
      <c r="E5" s="9"/>
      <c r="F5" s="8"/>
      <c r="G5" s="8" t="n">
        <v>1911</v>
      </c>
      <c r="H5" s="9"/>
      <c r="I5" s="8" t="s">
        <v>64</v>
      </c>
      <c r="J5" s="9"/>
      <c r="K5" s="9"/>
      <c r="L5" s="9"/>
      <c r="M5" s="8" t="s">
        <v>65</v>
      </c>
      <c r="N5" s="8" t="s">
        <v>71</v>
      </c>
      <c r="O5" s="9"/>
    </row>
    <row r="6" customFormat="false" ht="15" hidden="false" customHeight="false" outlineLevel="0" collapsed="false">
      <c r="A6" s="8" t="s">
        <v>74</v>
      </c>
      <c r="B6" s="8" t="s">
        <v>75</v>
      </c>
      <c r="C6" s="8" t="s">
        <v>63</v>
      </c>
      <c r="D6" s="8"/>
      <c r="E6" s="9"/>
      <c r="F6" s="8"/>
      <c r="G6" s="8" t="n">
        <v>1937</v>
      </c>
      <c r="H6" s="9"/>
      <c r="I6" s="8" t="s">
        <v>64</v>
      </c>
      <c r="J6" s="9"/>
      <c r="K6" s="9"/>
      <c r="L6" s="9"/>
      <c r="M6" s="8" t="s">
        <v>65</v>
      </c>
      <c r="N6" s="8" t="s">
        <v>71</v>
      </c>
      <c r="O6" s="9"/>
    </row>
    <row r="7" customFormat="false" ht="15" hidden="false" customHeight="false" outlineLevel="0" collapsed="false">
      <c r="A7" s="8" t="s">
        <v>76</v>
      </c>
      <c r="B7" s="8" t="s">
        <v>77</v>
      </c>
      <c r="C7" s="8" t="s">
        <v>63</v>
      </c>
      <c r="D7" s="8"/>
      <c r="E7" s="9"/>
      <c r="F7" s="8"/>
      <c r="G7" s="8" t="n">
        <v>1947</v>
      </c>
      <c r="H7" s="9"/>
      <c r="I7" s="8" t="s">
        <v>64</v>
      </c>
      <c r="J7" s="9"/>
      <c r="K7" s="9"/>
      <c r="L7" s="9"/>
      <c r="M7" s="8" t="s">
        <v>65</v>
      </c>
      <c r="N7" s="8" t="s">
        <v>71</v>
      </c>
      <c r="O7" s="9"/>
    </row>
    <row r="8" customFormat="false" ht="15" hidden="false" customHeight="false" outlineLevel="0" collapsed="false">
      <c r="A8" s="8" t="s">
        <v>78</v>
      </c>
      <c r="B8" s="8" t="s">
        <v>79</v>
      </c>
      <c r="C8" s="8" t="s">
        <v>63</v>
      </c>
      <c r="D8" s="8"/>
      <c r="E8" s="9"/>
      <c r="F8" s="8"/>
      <c r="G8" s="8" t="n">
        <v>1974</v>
      </c>
      <c r="H8" s="9"/>
      <c r="I8" s="8" t="s">
        <v>64</v>
      </c>
      <c r="J8" s="9"/>
      <c r="K8" s="9"/>
      <c r="L8" s="9"/>
      <c r="M8" s="8" t="s">
        <v>65</v>
      </c>
      <c r="N8" s="8" t="s">
        <v>71</v>
      </c>
      <c r="O8" s="9"/>
    </row>
    <row r="9" customFormat="false" ht="15" hidden="false" customHeight="false" outlineLevel="0" collapsed="false">
      <c r="A9" s="8" t="s">
        <v>80</v>
      </c>
      <c r="B9" s="8" t="s">
        <v>81</v>
      </c>
      <c r="C9" s="8" t="s">
        <v>82</v>
      </c>
      <c r="D9" s="8"/>
      <c r="E9" s="9"/>
      <c r="F9" s="8"/>
      <c r="G9" s="8" t="n">
        <v>1793</v>
      </c>
      <c r="H9" s="9"/>
      <c r="I9" s="8" t="s">
        <v>64</v>
      </c>
      <c r="J9" s="9"/>
      <c r="K9" s="9"/>
      <c r="L9" s="9"/>
      <c r="M9" s="8" t="s">
        <v>65</v>
      </c>
      <c r="N9" s="8" t="s">
        <v>64</v>
      </c>
      <c r="O9" s="9"/>
    </row>
    <row r="10" customFormat="false" ht="15" hidden="false" customHeight="false" outlineLevel="0" collapsed="false">
      <c r="A10" s="8" t="s">
        <v>83</v>
      </c>
      <c r="B10" s="8" t="s">
        <v>84</v>
      </c>
      <c r="C10" s="8" t="s">
        <v>82</v>
      </c>
      <c r="D10" s="8"/>
      <c r="E10" s="9"/>
      <c r="F10" s="8"/>
      <c r="G10" s="8" t="n">
        <v>1901</v>
      </c>
      <c r="H10" s="9"/>
      <c r="I10" s="8" t="s">
        <v>64</v>
      </c>
      <c r="J10" s="9"/>
      <c r="K10" s="9"/>
      <c r="L10" s="9"/>
      <c r="M10" s="8" t="s">
        <v>65</v>
      </c>
      <c r="N10" s="8" t="s">
        <v>71</v>
      </c>
      <c r="O10" s="9"/>
    </row>
    <row r="11" customFormat="false" ht="15" hidden="false" customHeight="false" outlineLevel="0" collapsed="false">
      <c r="A11" s="8" t="s">
        <v>85</v>
      </c>
      <c r="B11" s="8" t="s">
        <v>86</v>
      </c>
      <c r="C11" s="8" t="s">
        <v>82</v>
      </c>
      <c r="D11" s="8"/>
      <c r="E11" s="9"/>
      <c r="F11" s="8"/>
      <c r="G11" s="8" t="n">
        <v>1905</v>
      </c>
      <c r="H11" s="9"/>
      <c r="I11" s="8" t="s">
        <v>64</v>
      </c>
      <c r="J11" s="9"/>
      <c r="K11" s="9"/>
      <c r="L11" s="9"/>
      <c r="M11" s="8" t="s">
        <v>65</v>
      </c>
      <c r="N11" s="8" t="s">
        <v>71</v>
      </c>
      <c r="O11" s="9"/>
    </row>
    <row r="12" customFormat="false" ht="15" hidden="false" customHeight="false" outlineLevel="0" collapsed="false">
      <c r="A12" s="8" t="s">
        <v>87</v>
      </c>
      <c r="B12" s="8" t="s">
        <v>88</v>
      </c>
      <c r="C12" s="8" t="s">
        <v>82</v>
      </c>
      <c r="D12" s="8"/>
      <c r="E12" s="9"/>
      <c r="F12" s="8"/>
      <c r="G12" s="8" t="n">
        <v>1997</v>
      </c>
      <c r="H12" s="9"/>
      <c r="I12" s="8" t="s">
        <v>64</v>
      </c>
      <c r="J12" s="9"/>
      <c r="K12" s="9"/>
      <c r="L12" s="9"/>
      <c r="M12" s="8" t="s">
        <v>65</v>
      </c>
      <c r="N12" s="8" t="s">
        <v>71</v>
      </c>
      <c r="O12" s="9"/>
    </row>
    <row r="13" customFormat="false" ht="15" hidden="false" customHeight="false" outlineLevel="0" collapsed="false">
      <c r="A13" s="8" t="s">
        <v>89</v>
      </c>
      <c r="B13" s="8" t="s">
        <v>90</v>
      </c>
      <c r="C13" s="8" t="s">
        <v>91</v>
      </c>
      <c r="D13" s="8"/>
      <c r="E13" s="9"/>
      <c r="F13" s="8"/>
      <c r="G13" s="8" t="n">
        <v>1820</v>
      </c>
      <c r="H13" s="9"/>
      <c r="I13" s="8" t="s">
        <v>64</v>
      </c>
      <c r="J13" s="9"/>
      <c r="K13" s="9"/>
      <c r="L13" s="9"/>
      <c r="M13" s="8" t="s">
        <v>65</v>
      </c>
      <c r="N13" s="8" t="s">
        <v>71</v>
      </c>
      <c r="O13" s="9"/>
    </row>
    <row r="14" customFormat="false" ht="15" hidden="false" customHeight="false" outlineLevel="0" collapsed="false">
      <c r="A14" s="8" t="s">
        <v>92</v>
      </c>
      <c r="B14" s="8" t="s">
        <v>93</v>
      </c>
      <c r="C14" s="8" t="s">
        <v>91</v>
      </c>
      <c r="D14" s="8"/>
      <c r="E14" s="9"/>
      <c r="F14" s="8"/>
      <c r="G14" s="8" t="n">
        <v>1844</v>
      </c>
      <c r="H14" s="9"/>
      <c r="I14" s="8" t="s">
        <v>64</v>
      </c>
      <c r="J14" s="9"/>
      <c r="K14" s="9"/>
      <c r="L14" s="9"/>
      <c r="M14" s="8" t="s">
        <v>65</v>
      </c>
      <c r="N14" s="8" t="s">
        <v>71</v>
      </c>
      <c r="O14" s="9"/>
    </row>
    <row r="15" customFormat="false" ht="15" hidden="false" customHeight="false" outlineLevel="0" collapsed="false">
      <c r="A15" s="8" t="s">
        <v>94</v>
      </c>
      <c r="B15" s="8" t="s">
        <v>95</v>
      </c>
      <c r="C15" s="8" t="s">
        <v>91</v>
      </c>
      <c r="D15" s="8" t="s">
        <v>96</v>
      </c>
      <c r="E15" s="9"/>
      <c r="F15" s="8"/>
      <c r="G15" s="8" t="n">
        <v>1875</v>
      </c>
      <c r="H15" s="9"/>
      <c r="I15" s="8" t="s">
        <v>64</v>
      </c>
      <c r="J15" s="9"/>
      <c r="K15" s="9"/>
      <c r="L15" s="9"/>
      <c r="M15" s="8" t="s">
        <v>65</v>
      </c>
      <c r="N15" s="8" t="s">
        <v>64</v>
      </c>
      <c r="O15" s="9"/>
    </row>
    <row r="16" customFormat="false" ht="15" hidden="false" customHeight="false" outlineLevel="0" collapsed="false">
      <c r="A16" s="8" t="s">
        <v>97</v>
      </c>
      <c r="B16" s="8" t="s">
        <v>98</v>
      </c>
      <c r="C16" s="8" t="s">
        <v>91</v>
      </c>
      <c r="D16" s="8" t="s">
        <v>99</v>
      </c>
      <c r="E16" s="9"/>
      <c r="F16" s="8"/>
      <c r="G16" s="8" t="n">
        <v>1912</v>
      </c>
      <c r="H16" s="9"/>
      <c r="I16" s="8" t="s">
        <v>64</v>
      </c>
      <c r="J16" s="9"/>
      <c r="K16" s="9"/>
      <c r="L16" s="9"/>
      <c r="M16" s="8" t="s">
        <v>65</v>
      </c>
      <c r="N16" s="8" t="s">
        <v>71</v>
      </c>
      <c r="O16" s="9"/>
    </row>
    <row r="17" customFormat="false" ht="15" hidden="false" customHeight="false" outlineLevel="0" collapsed="false">
      <c r="A17" s="8" t="s">
        <v>100</v>
      </c>
      <c r="B17" s="8" t="s">
        <v>101</v>
      </c>
      <c r="C17" s="8" t="s">
        <v>91</v>
      </c>
      <c r="D17" s="8"/>
      <c r="E17" s="9"/>
      <c r="F17" s="8"/>
      <c r="G17" s="8" t="n">
        <v>1951</v>
      </c>
      <c r="H17" s="9"/>
      <c r="I17" s="8" t="s">
        <v>64</v>
      </c>
      <c r="J17" s="9"/>
      <c r="K17" s="9"/>
      <c r="L17" s="9"/>
      <c r="M17" s="8" t="s">
        <v>65</v>
      </c>
      <c r="N17" s="8" t="s">
        <v>71</v>
      </c>
      <c r="O17" s="9"/>
    </row>
    <row r="18" customFormat="false" ht="15" hidden="false" customHeight="false" outlineLevel="0" collapsed="false">
      <c r="A18" s="8" t="s">
        <v>102</v>
      </c>
      <c r="B18" s="8" t="s">
        <v>103</v>
      </c>
      <c r="C18" s="8" t="s">
        <v>96</v>
      </c>
      <c r="D18" s="8"/>
      <c r="E18" s="9"/>
      <c r="F18" s="8" t="s">
        <v>104</v>
      </c>
      <c r="G18" s="8" t="n">
        <v>1848</v>
      </c>
      <c r="H18" s="9"/>
      <c r="I18" s="8" t="s">
        <v>64</v>
      </c>
      <c r="J18" s="9"/>
      <c r="K18" s="9"/>
      <c r="L18" s="9"/>
      <c r="M18" s="8" t="s">
        <v>65</v>
      </c>
      <c r="N18" s="8" t="s">
        <v>64</v>
      </c>
      <c r="O18" s="9"/>
    </row>
    <row r="19" customFormat="false" ht="15" hidden="false" customHeight="false" outlineLevel="0" collapsed="false">
      <c r="A19" s="8" t="s">
        <v>105</v>
      </c>
      <c r="B19" s="8" t="s">
        <v>106</v>
      </c>
      <c r="C19" s="8" t="s">
        <v>96</v>
      </c>
      <c r="D19" s="8"/>
      <c r="E19" s="9"/>
      <c r="F19" s="8"/>
      <c r="G19" s="8" t="n">
        <v>1902</v>
      </c>
      <c r="H19" s="9"/>
      <c r="I19" s="8" t="s">
        <v>64</v>
      </c>
      <c r="J19" s="9"/>
      <c r="K19" s="9"/>
      <c r="L19" s="9"/>
      <c r="M19" s="8" t="s">
        <v>65</v>
      </c>
      <c r="N19" s="8" t="s">
        <v>71</v>
      </c>
      <c r="O19" s="9"/>
    </row>
    <row r="20" customFormat="false" ht="15" hidden="false" customHeight="false" outlineLevel="0" collapsed="false">
      <c r="A20" s="8" t="s">
        <v>107</v>
      </c>
      <c r="B20" s="8" t="s">
        <v>108</v>
      </c>
      <c r="C20" s="8" t="s">
        <v>96</v>
      </c>
      <c r="D20" s="8"/>
      <c r="E20" s="9"/>
      <c r="F20" s="8"/>
      <c r="G20" s="8"/>
      <c r="H20" s="9"/>
      <c r="I20" s="8"/>
      <c r="J20" s="9"/>
      <c r="K20" s="9"/>
      <c r="L20" s="9"/>
      <c r="M20" s="8" t="s">
        <v>65</v>
      </c>
      <c r="N20" s="8" t="s">
        <v>71</v>
      </c>
      <c r="O20" s="9"/>
    </row>
    <row r="21" customFormat="false" ht="15" hidden="false" customHeight="false" outlineLevel="0" collapsed="false">
      <c r="A21" s="8" t="s">
        <v>109</v>
      </c>
      <c r="B21" s="8" t="s">
        <v>110</v>
      </c>
      <c r="C21" s="8" t="s">
        <v>96</v>
      </c>
      <c r="D21" s="8"/>
      <c r="E21" s="9"/>
      <c r="F21" s="8"/>
      <c r="G21" s="8" t="n">
        <v>1920</v>
      </c>
      <c r="H21" s="9"/>
      <c r="I21" s="8" t="s">
        <v>64</v>
      </c>
      <c r="J21" s="9"/>
      <c r="K21" s="9"/>
      <c r="L21" s="9"/>
      <c r="M21" s="8" t="s">
        <v>65</v>
      </c>
      <c r="N21" s="8" t="s">
        <v>71</v>
      </c>
      <c r="O21" s="9"/>
    </row>
    <row r="22" customFormat="false" ht="15" hidden="false" customHeight="false" outlineLevel="0" collapsed="false">
      <c r="A22" s="8" t="s">
        <v>111</v>
      </c>
      <c r="B22" s="8" t="s">
        <v>112</v>
      </c>
      <c r="C22" s="8" t="s">
        <v>96</v>
      </c>
      <c r="D22" s="8"/>
      <c r="E22" s="9"/>
      <c r="F22" s="8"/>
      <c r="G22" s="8" t="n">
        <v>1928</v>
      </c>
      <c r="H22" s="9"/>
      <c r="I22" s="8" t="s">
        <v>64</v>
      </c>
      <c r="J22" s="9"/>
      <c r="K22" s="9"/>
      <c r="L22" s="9"/>
      <c r="M22" s="8" t="s">
        <v>65</v>
      </c>
      <c r="N22" s="8" t="s">
        <v>71</v>
      </c>
      <c r="O22" s="9"/>
    </row>
    <row r="23" customFormat="false" ht="15" hidden="false" customHeight="false" outlineLevel="0" collapsed="false">
      <c r="A23" s="8" t="s">
        <v>113</v>
      </c>
      <c r="B23" s="8" t="s">
        <v>114</v>
      </c>
      <c r="C23" s="8" t="s">
        <v>96</v>
      </c>
      <c r="D23" s="8"/>
      <c r="E23" s="9"/>
      <c r="F23" s="8"/>
      <c r="G23" s="8" t="n">
        <v>1949</v>
      </c>
      <c r="H23" s="9"/>
      <c r="I23" s="8" t="s">
        <v>64</v>
      </c>
      <c r="J23" s="9"/>
      <c r="K23" s="9"/>
      <c r="L23" s="9"/>
      <c r="M23" s="8" t="s">
        <v>65</v>
      </c>
      <c r="N23" s="8" t="s">
        <v>71</v>
      </c>
      <c r="O23" s="9"/>
    </row>
    <row r="24" customFormat="false" ht="15" hidden="false" customHeight="false" outlineLevel="0" collapsed="false">
      <c r="A24" s="8" t="s">
        <v>115</v>
      </c>
      <c r="B24" s="8" t="s">
        <v>116</v>
      </c>
      <c r="C24" s="8" t="s">
        <v>96</v>
      </c>
      <c r="D24" s="8"/>
      <c r="E24" s="9"/>
      <c r="F24" s="8"/>
      <c r="G24" s="8" t="n">
        <v>1962</v>
      </c>
      <c r="H24" s="9"/>
      <c r="I24" s="8" t="s">
        <v>64</v>
      </c>
      <c r="J24" s="9"/>
      <c r="K24" s="9"/>
      <c r="L24" s="9"/>
      <c r="M24" s="8" t="s">
        <v>65</v>
      </c>
      <c r="N24" s="8" t="s">
        <v>71</v>
      </c>
      <c r="O24" s="9"/>
    </row>
    <row r="25" customFormat="false" ht="15" hidden="false" customHeight="false" outlineLevel="0" collapsed="false">
      <c r="A25" s="8" t="s">
        <v>117</v>
      </c>
      <c r="B25" s="8" t="s">
        <v>118</v>
      </c>
      <c r="C25" s="8" t="s">
        <v>96</v>
      </c>
      <c r="D25" s="8"/>
      <c r="E25" s="9"/>
      <c r="F25" s="8"/>
      <c r="G25" s="8" t="n">
        <v>1975</v>
      </c>
      <c r="H25" s="9"/>
      <c r="I25" s="8" t="s">
        <v>64</v>
      </c>
      <c r="J25" s="9"/>
      <c r="K25" s="9"/>
      <c r="L25" s="9"/>
      <c r="M25" s="8" t="s">
        <v>65</v>
      </c>
      <c r="N25" s="8" t="s">
        <v>71</v>
      </c>
      <c r="O25" s="9"/>
    </row>
    <row r="26" customFormat="false" ht="15" hidden="false" customHeight="false" outlineLevel="0" collapsed="false">
      <c r="A26" s="8" t="s">
        <v>119</v>
      </c>
      <c r="B26" s="8" t="s">
        <v>120</v>
      </c>
      <c r="C26" s="8" t="s">
        <v>121</v>
      </c>
      <c r="D26" s="8"/>
      <c r="E26" s="9"/>
      <c r="F26" s="8"/>
      <c r="G26" s="8" t="n">
        <v>1840</v>
      </c>
      <c r="H26" s="9"/>
      <c r="I26" s="8" t="s">
        <v>64</v>
      </c>
      <c r="J26" s="9"/>
      <c r="K26" s="9"/>
      <c r="L26" s="9"/>
      <c r="M26" s="8" t="s">
        <v>65</v>
      </c>
      <c r="N26" s="8" t="s">
        <v>71</v>
      </c>
      <c r="O26" s="9"/>
    </row>
    <row r="27" customFormat="false" ht="15" hidden="false" customHeight="false" outlineLevel="0" collapsed="false">
      <c r="A27" s="8" t="s">
        <v>122</v>
      </c>
      <c r="B27" s="8" t="s">
        <v>123</v>
      </c>
      <c r="C27" s="8" t="s">
        <v>121</v>
      </c>
      <c r="D27" s="8"/>
      <c r="E27" s="9"/>
      <c r="F27" s="8"/>
      <c r="G27" s="8" t="n">
        <v>1876</v>
      </c>
      <c r="H27" s="9"/>
      <c r="I27" s="8" t="s">
        <v>64</v>
      </c>
      <c r="J27" s="9"/>
      <c r="K27" s="9"/>
      <c r="L27" s="9"/>
      <c r="M27" s="8" t="s">
        <v>65</v>
      </c>
      <c r="N27" s="8" t="s">
        <v>64</v>
      </c>
      <c r="O27" s="9"/>
    </row>
    <row r="28" customFormat="false" ht="15" hidden="false" customHeight="false" outlineLevel="0" collapsed="false">
      <c r="A28" s="8" t="s">
        <v>124</v>
      </c>
      <c r="B28" s="8" t="s">
        <v>125</v>
      </c>
      <c r="C28" s="8" t="s">
        <v>121</v>
      </c>
      <c r="D28" s="8"/>
      <c r="E28" s="9"/>
      <c r="F28" s="8"/>
      <c r="G28" s="8" t="n">
        <v>1906</v>
      </c>
      <c r="H28" s="9"/>
      <c r="I28" s="8" t="s">
        <v>64</v>
      </c>
      <c r="J28" s="9"/>
      <c r="K28" s="9"/>
      <c r="L28" s="9"/>
      <c r="M28" s="8" t="s">
        <v>65</v>
      </c>
      <c r="N28" s="8" t="s">
        <v>71</v>
      </c>
      <c r="O28" s="9"/>
    </row>
    <row r="29" customFormat="false" ht="15" hidden="false" customHeight="false" outlineLevel="0" collapsed="false">
      <c r="A29" s="8" t="s">
        <v>126</v>
      </c>
      <c r="B29" s="8" t="s">
        <v>127</v>
      </c>
      <c r="C29" s="8" t="s">
        <v>121</v>
      </c>
      <c r="D29" s="8" t="s">
        <v>63</v>
      </c>
      <c r="E29" s="9"/>
      <c r="F29" s="8"/>
      <c r="G29" s="8" t="n">
        <v>1973</v>
      </c>
      <c r="H29" s="9"/>
      <c r="I29" s="8" t="s">
        <v>64</v>
      </c>
      <c r="J29" s="9"/>
      <c r="K29" s="9"/>
      <c r="L29" s="9"/>
      <c r="M29" s="8" t="s">
        <v>65</v>
      </c>
      <c r="N29" s="8" t="s">
        <v>64</v>
      </c>
      <c r="O29" s="9"/>
    </row>
    <row r="30" customFormat="false" ht="15" hidden="false" customHeight="false" outlineLevel="0" collapsed="false">
      <c r="A30" s="8" t="s">
        <v>128</v>
      </c>
      <c r="B30" s="8" t="s">
        <v>129</v>
      </c>
      <c r="C30" s="8" t="s">
        <v>121</v>
      </c>
      <c r="D30" s="8" t="s">
        <v>130</v>
      </c>
      <c r="E30" s="9"/>
      <c r="F30" s="8" t="s">
        <v>131</v>
      </c>
      <c r="G30" s="8" t="n">
        <v>1982</v>
      </c>
      <c r="H30" s="9"/>
      <c r="I30" s="8" t="s">
        <v>64</v>
      </c>
      <c r="J30" s="9"/>
      <c r="K30" s="9"/>
      <c r="L30" s="9"/>
      <c r="M30" s="8" t="s">
        <v>65</v>
      </c>
      <c r="N30" s="8" t="s">
        <v>71</v>
      </c>
      <c r="O30" s="9"/>
    </row>
    <row r="31" customFormat="false" ht="15" hidden="false" customHeight="false" outlineLevel="0" collapsed="false">
      <c r="A31" s="8" t="s">
        <v>132</v>
      </c>
      <c r="B31" s="8" t="s">
        <v>133</v>
      </c>
      <c r="C31" s="8" t="s">
        <v>99</v>
      </c>
      <c r="D31" s="8"/>
      <c r="E31" s="9"/>
      <c r="F31" s="8"/>
      <c r="G31" s="8" t="n">
        <v>1790</v>
      </c>
      <c r="H31" s="9"/>
      <c r="I31" s="8" t="s">
        <v>64</v>
      </c>
      <c r="J31" s="9"/>
      <c r="K31" s="9"/>
      <c r="L31" s="9"/>
      <c r="M31" s="8" t="s">
        <v>65</v>
      </c>
      <c r="N31" s="8" t="s">
        <v>71</v>
      </c>
      <c r="O31" s="9"/>
    </row>
    <row r="32" customFormat="false" ht="15" hidden="false" customHeight="false" outlineLevel="0" collapsed="false">
      <c r="A32" s="8" t="s">
        <v>134</v>
      </c>
      <c r="B32" s="8" t="s">
        <v>135</v>
      </c>
      <c r="C32" s="8" t="s">
        <v>99</v>
      </c>
      <c r="D32" s="8" t="s">
        <v>136</v>
      </c>
      <c r="E32" s="9"/>
      <c r="F32" s="8"/>
      <c r="G32" s="8" t="n">
        <v>1891</v>
      </c>
      <c r="H32" s="9"/>
      <c r="I32" s="8" t="s">
        <v>64</v>
      </c>
      <c r="J32" s="9"/>
      <c r="K32" s="9"/>
      <c r="L32" s="9"/>
      <c r="M32" s="8" t="s">
        <v>65</v>
      </c>
      <c r="N32" s="8" t="s">
        <v>71</v>
      </c>
      <c r="O32" s="9"/>
    </row>
    <row r="33" customFormat="false" ht="15" hidden="false" customHeight="false" outlineLevel="0" collapsed="false">
      <c r="A33" s="8" t="s">
        <v>137</v>
      </c>
      <c r="B33" s="8" t="s">
        <v>138</v>
      </c>
      <c r="C33" s="8" t="s">
        <v>99</v>
      </c>
      <c r="D33" s="8" t="s">
        <v>139</v>
      </c>
      <c r="E33" s="9"/>
      <c r="F33" s="8"/>
      <c r="G33" s="8"/>
      <c r="H33" s="9"/>
      <c r="I33" s="8"/>
      <c r="J33" s="9"/>
      <c r="K33" s="9"/>
      <c r="L33" s="9"/>
      <c r="M33" s="8" t="s">
        <v>65</v>
      </c>
      <c r="N33" s="8" t="s">
        <v>71</v>
      </c>
      <c r="O33" s="9"/>
    </row>
    <row r="34" customFormat="false" ht="15" hidden="false" customHeight="false" outlineLevel="0" collapsed="false">
      <c r="A34" s="8" t="s">
        <v>140</v>
      </c>
      <c r="B34" s="8" t="s">
        <v>141</v>
      </c>
      <c r="C34" s="8" t="s">
        <v>99</v>
      </c>
      <c r="D34" s="8" t="s">
        <v>142</v>
      </c>
      <c r="E34" s="9"/>
      <c r="F34" s="8"/>
      <c r="G34" s="8" t="n">
        <v>1947</v>
      </c>
      <c r="H34" s="9"/>
      <c r="I34" s="8" t="s">
        <v>64</v>
      </c>
      <c r="J34" s="9"/>
      <c r="K34" s="9"/>
      <c r="L34" s="9"/>
      <c r="M34" s="8" t="s">
        <v>65</v>
      </c>
      <c r="N34" s="8" t="s">
        <v>71</v>
      </c>
      <c r="O34" s="9"/>
    </row>
    <row r="35" customFormat="false" ht="15" hidden="false" customHeight="false" outlineLevel="0" collapsed="false">
      <c r="A35" s="8" t="s">
        <v>143</v>
      </c>
      <c r="B35" s="8" t="s">
        <v>144</v>
      </c>
      <c r="C35" s="8" t="s">
        <v>99</v>
      </c>
      <c r="D35" s="8" t="s">
        <v>96</v>
      </c>
      <c r="E35" s="9"/>
      <c r="F35" s="8"/>
      <c r="G35" s="8" t="n">
        <v>1972</v>
      </c>
      <c r="H35" s="9"/>
      <c r="I35" s="8" t="s">
        <v>64</v>
      </c>
      <c r="J35" s="9"/>
      <c r="K35" s="9"/>
      <c r="L35" s="9"/>
      <c r="M35" s="8" t="s">
        <v>65</v>
      </c>
      <c r="N35" s="8" t="s">
        <v>71</v>
      </c>
      <c r="O35" s="9"/>
    </row>
    <row r="36" customFormat="false" ht="15" hidden="false" customHeight="false" outlineLevel="0" collapsed="false">
      <c r="A36" s="8" t="s">
        <v>145</v>
      </c>
      <c r="B36" s="8" t="s">
        <v>146</v>
      </c>
      <c r="C36" s="8" t="s">
        <v>99</v>
      </c>
      <c r="D36" s="8"/>
      <c r="E36" s="9"/>
      <c r="F36" s="8"/>
      <c r="G36" s="8"/>
      <c r="H36" s="9"/>
      <c r="I36" s="8"/>
      <c r="J36" s="9"/>
      <c r="K36" s="9"/>
      <c r="L36" s="9"/>
      <c r="M36" s="8" t="s">
        <v>65</v>
      </c>
      <c r="N36" s="8" t="s">
        <v>71</v>
      </c>
      <c r="O36" s="9"/>
    </row>
    <row r="37" customFormat="false" ht="15" hidden="false" customHeight="false" outlineLevel="0" collapsed="false">
      <c r="A37" s="8" t="s">
        <v>147</v>
      </c>
      <c r="B37" s="8" t="s">
        <v>148</v>
      </c>
      <c r="C37" s="8" t="s">
        <v>99</v>
      </c>
      <c r="D37" s="8" t="s">
        <v>63</v>
      </c>
      <c r="E37" s="9"/>
      <c r="F37" s="8" t="s">
        <v>149</v>
      </c>
      <c r="G37" s="8"/>
      <c r="H37" s="9"/>
      <c r="I37" s="8"/>
      <c r="J37" s="9"/>
      <c r="K37" s="9"/>
      <c r="L37" s="9"/>
      <c r="M37" s="8" t="s">
        <v>65</v>
      </c>
      <c r="N37" s="8" t="s">
        <v>64</v>
      </c>
      <c r="O37" s="9"/>
    </row>
    <row r="38" customFormat="false" ht="15" hidden="false" customHeight="false" outlineLevel="0" collapsed="false">
      <c r="A38" s="8" t="s">
        <v>150</v>
      </c>
      <c r="B38" s="8" t="s">
        <v>151</v>
      </c>
      <c r="C38" s="8" t="s">
        <v>152</v>
      </c>
      <c r="D38" s="8"/>
      <c r="E38" s="9"/>
      <c r="F38" s="8"/>
      <c r="G38" s="8" t="n">
        <v>1796</v>
      </c>
      <c r="H38" s="9"/>
      <c r="I38" s="8" t="s">
        <v>64</v>
      </c>
      <c r="J38" s="9"/>
      <c r="K38" s="9"/>
      <c r="L38" s="9"/>
      <c r="M38" s="8" t="s">
        <v>65</v>
      </c>
      <c r="N38" s="8" t="s">
        <v>71</v>
      </c>
      <c r="O38" s="9"/>
    </row>
    <row r="39" customFormat="false" ht="15" hidden="false" customHeight="false" outlineLevel="0" collapsed="false">
      <c r="A39" s="8" t="s">
        <v>153</v>
      </c>
      <c r="B39" s="8" t="s">
        <v>154</v>
      </c>
      <c r="C39" s="8" t="s">
        <v>152</v>
      </c>
      <c r="D39" s="8"/>
      <c r="E39" s="9"/>
      <c r="F39" s="8"/>
      <c r="G39" s="8" t="n">
        <v>1899</v>
      </c>
      <c r="H39" s="9"/>
      <c r="I39" s="8" t="s">
        <v>64</v>
      </c>
      <c r="J39" s="9"/>
      <c r="K39" s="9"/>
      <c r="L39" s="9"/>
      <c r="M39" s="8" t="s">
        <v>65</v>
      </c>
      <c r="N39" s="8" t="s">
        <v>71</v>
      </c>
      <c r="O39" s="9"/>
    </row>
    <row r="40" customFormat="false" ht="15" hidden="false" customHeight="false" outlineLevel="0" collapsed="false">
      <c r="A40" s="8" t="s">
        <v>155</v>
      </c>
      <c r="B40" s="8" t="s">
        <v>156</v>
      </c>
      <c r="C40" s="8" t="s">
        <v>152</v>
      </c>
      <c r="D40" s="8" t="s">
        <v>136</v>
      </c>
      <c r="E40" s="9"/>
      <c r="F40" s="8"/>
      <c r="G40" s="8" t="n">
        <v>1934</v>
      </c>
      <c r="H40" s="9"/>
      <c r="I40" s="8" t="s">
        <v>64</v>
      </c>
      <c r="J40" s="9"/>
      <c r="K40" s="9"/>
      <c r="L40" s="9"/>
      <c r="M40" s="8" t="s">
        <v>65</v>
      </c>
      <c r="N40" s="8" t="s">
        <v>71</v>
      </c>
      <c r="O40" s="9"/>
    </row>
    <row r="41" customFormat="false" ht="15" hidden="false" customHeight="false" outlineLevel="0" collapsed="false">
      <c r="A41" s="8" t="s">
        <v>157</v>
      </c>
      <c r="B41" s="8" t="s">
        <v>158</v>
      </c>
      <c r="C41" s="8" t="s">
        <v>152</v>
      </c>
      <c r="D41" s="8" t="s">
        <v>159</v>
      </c>
      <c r="E41" s="9"/>
      <c r="F41" s="8"/>
      <c r="G41" s="8" t="n">
        <v>1998</v>
      </c>
      <c r="H41" s="9"/>
      <c r="I41" s="8" t="s">
        <v>64</v>
      </c>
      <c r="J41" s="9"/>
      <c r="K41" s="9"/>
      <c r="L41" s="9"/>
      <c r="M41" s="8" t="s">
        <v>65</v>
      </c>
      <c r="N41" s="8" t="s">
        <v>71</v>
      </c>
      <c r="O41" s="9"/>
    </row>
    <row r="42" customFormat="false" ht="23.85" hidden="false" customHeight="false" outlineLevel="0" collapsed="false">
      <c r="A42" s="8" t="s">
        <v>160</v>
      </c>
      <c r="B42" s="8" t="s">
        <v>161</v>
      </c>
      <c r="C42" s="8" t="s">
        <v>152</v>
      </c>
      <c r="D42" s="8" t="s">
        <v>159</v>
      </c>
      <c r="E42" s="9"/>
      <c r="F42" s="8" t="s">
        <v>162</v>
      </c>
      <c r="G42" s="8" t="n">
        <v>2009</v>
      </c>
      <c r="H42" s="9"/>
      <c r="I42" s="8" t="s">
        <v>64</v>
      </c>
      <c r="J42" s="9"/>
      <c r="K42" s="9"/>
      <c r="L42" s="9"/>
      <c r="M42" s="8" t="s">
        <v>65</v>
      </c>
      <c r="N42" s="8" t="s">
        <v>64</v>
      </c>
      <c r="O42" s="9"/>
    </row>
    <row r="43" customFormat="false" ht="15" hidden="false" customHeight="false" outlineLevel="0" collapsed="false">
      <c r="A43" s="8" t="s">
        <v>163</v>
      </c>
      <c r="B43" s="8" t="s">
        <v>164</v>
      </c>
      <c r="C43" s="8" t="s">
        <v>139</v>
      </c>
      <c r="D43" s="8"/>
      <c r="E43" s="9"/>
      <c r="F43" s="8" t="s">
        <v>165</v>
      </c>
      <c r="G43" s="8" t="n">
        <v>1919</v>
      </c>
      <c r="H43" s="9"/>
      <c r="I43" s="8" t="s">
        <v>64</v>
      </c>
      <c r="J43" s="9"/>
      <c r="K43" s="9"/>
      <c r="L43" s="9"/>
      <c r="M43" s="8" t="s">
        <v>65</v>
      </c>
      <c r="N43" s="8" t="s">
        <v>64</v>
      </c>
      <c r="O43" s="9"/>
    </row>
    <row r="44" customFormat="false" ht="15" hidden="false" customHeight="false" outlineLevel="0" collapsed="false">
      <c r="A44" s="8" t="s">
        <v>166</v>
      </c>
      <c r="B44" s="8" t="s">
        <v>167</v>
      </c>
      <c r="C44" s="8" t="s">
        <v>139</v>
      </c>
      <c r="D44" s="8"/>
      <c r="E44" s="9"/>
      <c r="F44" s="8" t="s">
        <v>168</v>
      </c>
      <c r="G44" s="8" t="n">
        <v>1920</v>
      </c>
      <c r="H44" s="9"/>
      <c r="I44" s="8" t="s">
        <v>64</v>
      </c>
      <c r="J44" s="9"/>
      <c r="K44" s="9"/>
      <c r="L44" s="9"/>
      <c r="M44" s="8" t="s">
        <v>65</v>
      </c>
      <c r="N44" s="8" t="s">
        <v>71</v>
      </c>
      <c r="O44" s="9"/>
    </row>
    <row r="45" customFormat="false" ht="15" hidden="false" customHeight="false" outlineLevel="0" collapsed="false">
      <c r="A45" s="8" t="s">
        <v>169</v>
      </c>
      <c r="B45" s="8" t="s">
        <v>170</v>
      </c>
      <c r="C45" s="8" t="s">
        <v>139</v>
      </c>
      <c r="D45" s="8"/>
      <c r="E45" s="9"/>
      <c r="F45" s="8"/>
      <c r="G45" s="8" t="n">
        <v>1933</v>
      </c>
      <c r="H45" s="9"/>
      <c r="I45" s="8" t="s">
        <v>64</v>
      </c>
      <c r="J45" s="9"/>
      <c r="K45" s="9"/>
      <c r="L45" s="9"/>
      <c r="M45" s="8" t="s">
        <v>65</v>
      </c>
      <c r="N45" s="8" t="s">
        <v>71</v>
      </c>
      <c r="O45" s="9"/>
    </row>
    <row r="46" customFormat="false" ht="15" hidden="false" customHeight="false" outlineLevel="0" collapsed="false">
      <c r="A46" s="8" t="s">
        <v>171</v>
      </c>
      <c r="B46" s="8" t="s">
        <v>172</v>
      </c>
      <c r="C46" s="8" t="s">
        <v>139</v>
      </c>
      <c r="D46" s="8"/>
      <c r="E46" s="9"/>
      <c r="F46" s="8"/>
      <c r="G46" s="8" t="n">
        <v>1946</v>
      </c>
      <c r="H46" s="9"/>
      <c r="I46" s="8" t="s">
        <v>64</v>
      </c>
      <c r="J46" s="9"/>
      <c r="K46" s="9"/>
      <c r="L46" s="9"/>
      <c r="M46" s="8" t="s">
        <v>65</v>
      </c>
      <c r="N46" s="8" t="s">
        <v>71</v>
      </c>
      <c r="O46" s="9"/>
    </row>
    <row r="47" customFormat="false" ht="15" hidden="false" customHeight="false" outlineLevel="0" collapsed="false">
      <c r="A47" s="8" t="s">
        <v>173</v>
      </c>
      <c r="B47" s="8" t="s">
        <v>174</v>
      </c>
      <c r="C47" s="8" t="s">
        <v>142</v>
      </c>
      <c r="D47" s="8" t="s">
        <v>152</v>
      </c>
      <c r="E47" s="9"/>
      <c r="F47" s="8" t="s">
        <v>175</v>
      </c>
      <c r="G47" s="8"/>
      <c r="H47" s="9"/>
      <c r="I47" s="8"/>
      <c r="J47" s="9"/>
      <c r="K47" s="9"/>
      <c r="L47" s="9"/>
      <c r="M47" s="8" t="s">
        <v>65</v>
      </c>
      <c r="N47" s="8" t="s">
        <v>64</v>
      </c>
      <c r="O47" s="9"/>
    </row>
    <row r="48" customFormat="false" ht="15" hidden="false" customHeight="false" outlineLevel="0" collapsed="false">
      <c r="A48" s="8" t="s">
        <v>176</v>
      </c>
      <c r="B48" s="8" t="s">
        <v>177</v>
      </c>
      <c r="C48" s="8" t="s">
        <v>142</v>
      </c>
      <c r="D48" s="8" t="s">
        <v>82</v>
      </c>
      <c r="E48" s="9"/>
      <c r="F48" s="8"/>
      <c r="G48" s="8" t="n">
        <v>1799</v>
      </c>
      <c r="H48" s="9"/>
      <c r="I48" s="8" t="s">
        <v>64</v>
      </c>
      <c r="J48" s="9"/>
      <c r="K48" s="9"/>
      <c r="L48" s="9"/>
      <c r="M48" s="8" t="s">
        <v>65</v>
      </c>
      <c r="N48" s="8" t="s">
        <v>71</v>
      </c>
      <c r="O48" s="9"/>
    </row>
    <row r="49" customFormat="false" ht="15" hidden="false" customHeight="false" outlineLevel="0" collapsed="false">
      <c r="A49" s="8" t="s">
        <v>178</v>
      </c>
      <c r="B49" s="8" t="s">
        <v>179</v>
      </c>
      <c r="C49" s="8" t="s">
        <v>142</v>
      </c>
      <c r="D49" s="8"/>
      <c r="E49" s="9"/>
      <c r="F49" s="8"/>
      <c r="G49" s="8" t="n">
        <v>1825</v>
      </c>
      <c r="H49" s="9"/>
      <c r="I49" s="8" t="s">
        <v>64</v>
      </c>
      <c r="J49" s="9"/>
      <c r="K49" s="9"/>
      <c r="L49" s="9"/>
      <c r="M49" s="8" t="s">
        <v>65</v>
      </c>
      <c r="N49" s="8" t="s">
        <v>71</v>
      </c>
      <c r="O49" s="9"/>
    </row>
    <row r="50" customFormat="false" ht="23.85" hidden="false" customHeight="false" outlineLevel="0" collapsed="false">
      <c r="A50" s="8" t="s">
        <v>180</v>
      </c>
      <c r="B50" s="8" t="s">
        <v>181</v>
      </c>
      <c r="C50" s="8" t="s">
        <v>142</v>
      </c>
      <c r="D50" s="8"/>
      <c r="E50" s="9"/>
      <c r="F50" s="8"/>
      <c r="G50" s="8" t="n">
        <v>1961</v>
      </c>
      <c r="H50" s="9"/>
      <c r="I50" s="8" t="s">
        <v>64</v>
      </c>
      <c r="J50" s="9"/>
      <c r="K50" s="9"/>
      <c r="L50" s="9"/>
      <c r="M50" s="8" t="s">
        <v>65</v>
      </c>
      <c r="N50" s="8" t="s">
        <v>71</v>
      </c>
      <c r="O50" s="9"/>
    </row>
    <row r="51" customFormat="false" ht="15" hidden="false" customHeight="false" outlineLevel="0" collapsed="false">
      <c r="A51" s="8" t="s">
        <v>182</v>
      </c>
      <c r="B51" s="8" t="s">
        <v>183</v>
      </c>
      <c r="C51" s="8" t="s">
        <v>130</v>
      </c>
      <c r="D51" s="8"/>
      <c r="E51" s="9"/>
      <c r="F51" s="8"/>
      <c r="G51" s="8" t="n">
        <v>1962</v>
      </c>
      <c r="H51" s="9"/>
      <c r="I51" s="8" t="s">
        <v>64</v>
      </c>
      <c r="J51" s="9"/>
      <c r="K51" s="9"/>
      <c r="L51" s="9"/>
      <c r="M51" s="8" t="s">
        <v>65</v>
      </c>
      <c r="N51" s="8" t="s">
        <v>71</v>
      </c>
      <c r="O51" s="9"/>
    </row>
    <row r="52" customFormat="false" ht="15" hidden="false" customHeight="false" outlineLevel="0" collapsed="false">
      <c r="A52" s="8" t="s">
        <v>184</v>
      </c>
      <c r="B52" s="8" t="s">
        <v>185</v>
      </c>
      <c r="C52" s="8" t="s">
        <v>130</v>
      </c>
      <c r="D52" s="8"/>
      <c r="E52" s="9"/>
      <c r="F52" s="8"/>
      <c r="G52" s="8" t="n">
        <v>1973</v>
      </c>
      <c r="H52" s="9"/>
      <c r="I52" s="8" t="s">
        <v>64</v>
      </c>
      <c r="J52" s="9"/>
      <c r="K52" s="9"/>
      <c r="L52" s="9"/>
      <c r="M52" s="8" t="s">
        <v>65</v>
      </c>
      <c r="N52" s="8" t="s">
        <v>71</v>
      </c>
      <c r="O52" s="9"/>
    </row>
    <row r="53" customFormat="false" ht="15" hidden="false" customHeight="false" outlineLevel="0" collapsed="false">
      <c r="A53" s="8" t="s">
        <v>186</v>
      </c>
      <c r="B53" s="8" t="s">
        <v>187</v>
      </c>
      <c r="C53" s="8" t="s">
        <v>130</v>
      </c>
      <c r="D53" s="8"/>
      <c r="E53" s="9"/>
      <c r="F53" s="8"/>
      <c r="G53" s="8"/>
      <c r="H53" s="9"/>
      <c r="I53" s="8"/>
      <c r="J53" s="9"/>
      <c r="K53" s="9"/>
      <c r="L53" s="9"/>
      <c r="M53" s="8" t="s">
        <v>65</v>
      </c>
      <c r="N53" s="8" t="s">
        <v>71</v>
      </c>
      <c r="O53" s="9"/>
    </row>
    <row r="54" customFormat="false" ht="23.85" hidden="false" customHeight="false" outlineLevel="0" collapsed="false">
      <c r="A54" s="8" t="s">
        <v>188</v>
      </c>
      <c r="B54" s="8" t="s">
        <v>189</v>
      </c>
      <c r="C54" s="8" t="s">
        <v>130</v>
      </c>
      <c r="D54" s="8" t="s">
        <v>96</v>
      </c>
      <c r="E54" s="9"/>
      <c r="F54" s="8"/>
      <c r="G54" s="8" t="n">
        <v>1985</v>
      </c>
      <c r="H54" s="8" t="s">
        <v>190</v>
      </c>
      <c r="I54" s="8" t="s">
        <v>64</v>
      </c>
      <c r="J54" s="8" t="s">
        <v>191</v>
      </c>
      <c r="K54" s="8" t="s">
        <v>192</v>
      </c>
      <c r="L54" s="8" t="s">
        <v>193</v>
      </c>
      <c r="M54" s="8" t="s">
        <v>194</v>
      </c>
      <c r="N54" s="8" t="s">
        <v>64</v>
      </c>
      <c r="O54" s="9"/>
    </row>
    <row r="55" customFormat="false" ht="15" hidden="false" customHeight="false" outlineLevel="0" collapsed="false">
      <c r="A55" s="8" t="s">
        <v>195</v>
      </c>
      <c r="B55" s="8" t="s">
        <v>196</v>
      </c>
      <c r="C55" s="8" t="s">
        <v>130</v>
      </c>
      <c r="D55" s="8"/>
      <c r="E55" s="9"/>
      <c r="F55" s="8"/>
      <c r="G55" s="8" t="n">
        <v>2002</v>
      </c>
      <c r="H55" s="9"/>
      <c r="I55" s="8" t="s">
        <v>64</v>
      </c>
      <c r="J55" s="9"/>
      <c r="K55" s="9"/>
      <c r="L55" s="9"/>
      <c r="M55" s="8" t="s">
        <v>65</v>
      </c>
      <c r="N55" s="8" t="s">
        <v>71</v>
      </c>
      <c r="O55" s="9"/>
    </row>
    <row r="56" customFormat="false" ht="15" hidden="false" customHeight="false" outlineLevel="0" collapsed="false">
      <c r="A56" s="8" t="s">
        <v>197</v>
      </c>
      <c r="B56" s="8" t="s">
        <v>198</v>
      </c>
      <c r="C56" s="8" t="s">
        <v>130</v>
      </c>
      <c r="D56" s="8" t="s">
        <v>139</v>
      </c>
      <c r="E56" s="9"/>
      <c r="F56" s="8"/>
      <c r="G56" s="8"/>
      <c r="H56" s="9"/>
      <c r="I56" s="8"/>
      <c r="J56" s="9"/>
      <c r="K56" s="9"/>
      <c r="L56" s="9"/>
      <c r="M56" s="8" t="s">
        <v>65</v>
      </c>
      <c r="N56" s="8" t="s">
        <v>71</v>
      </c>
      <c r="O56" s="9"/>
    </row>
    <row r="57" customFormat="false" ht="15" hidden="false" customHeight="false" outlineLevel="0" collapsed="false">
      <c r="A57" s="8" t="s">
        <v>199</v>
      </c>
      <c r="B57" s="8" t="s">
        <v>200</v>
      </c>
      <c r="C57" s="8" t="s">
        <v>201</v>
      </c>
      <c r="D57" s="8" t="s">
        <v>63</v>
      </c>
      <c r="E57" s="9"/>
      <c r="F57" s="8" t="s">
        <v>202</v>
      </c>
      <c r="G57" s="8" t="n">
        <v>1791</v>
      </c>
      <c r="H57" s="9"/>
      <c r="I57" s="8" t="s">
        <v>64</v>
      </c>
      <c r="J57" s="9"/>
      <c r="K57" s="9"/>
      <c r="L57" s="9"/>
      <c r="M57" s="8" t="s">
        <v>65</v>
      </c>
      <c r="N57" s="8" t="s">
        <v>71</v>
      </c>
      <c r="O57" s="9"/>
    </row>
    <row r="58" customFormat="false" ht="15" hidden="false" customHeight="false" outlineLevel="0" collapsed="false">
      <c r="A58" s="8" t="s">
        <v>203</v>
      </c>
      <c r="B58" s="8" t="s">
        <v>204</v>
      </c>
      <c r="C58" s="8" t="s">
        <v>201</v>
      </c>
      <c r="D58" s="8"/>
      <c r="E58" s="9"/>
      <c r="F58" s="8"/>
      <c r="G58" s="8" t="n">
        <v>1969</v>
      </c>
      <c r="H58" s="9"/>
      <c r="I58" s="8" t="s">
        <v>64</v>
      </c>
      <c r="J58" s="9"/>
      <c r="K58" s="9"/>
      <c r="L58" s="9"/>
      <c r="M58" s="8" t="s">
        <v>65</v>
      </c>
      <c r="N58" s="8" t="s">
        <v>64</v>
      </c>
      <c r="O58" s="9"/>
    </row>
    <row r="59" customFormat="false" ht="15" hidden="false" customHeight="false" outlineLevel="0" collapsed="false">
      <c r="A59" s="8" t="s">
        <v>205</v>
      </c>
      <c r="B59" s="8" t="s">
        <v>206</v>
      </c>
      <c r="C59" s="8" t="s">
        <v>201</v>
      </c>
      <c r="D59" s="8"/>
      <c r="E59" s="9"/>
      <c r="F59" s="8"/>
      <c r="G59" s="8" t="n">
        <v>1989</v>
      </c>
      <c r="H59" s="9"/>
      <c r="I59" s="8" t="s">
        <v>64</v>
      </c>
      <c r="J59" s="9"/>
      <c r="K59" s="9"/>
      <c r="L59" s="9"/>
      <c r="M59" s="8" t="s">
        <v>65</v>
      </c>
      <c r="N59" s="8" t="s">
        <v>71</v>
      </c>
      <c r="O59" s="9"/>
    </row>
    <row r="60" customFormat="false" ht="15" hidden="false" customHeight="false" outlineLevel="0" collapsed="false">
      <c r="A60" s="8" t="s">
        <v>207</v>
      </c>
      <c r="B60" s="8" t="s">
        <v>208</v>
      </c>
      <c r="C60" s="8" t="s">
        <v>201</v>
      </c>
      <c r="D60" s="8" t="s">
        <v>209</v>
      </c>
      <c r="E60" s="9"/>
      <c r="F60" s="8"/>
      <c r="G60" s="8" t="n">
        <v>2000</v>
      </c>
      <c r="H60" s="9"/>
      <c r="I60" s="8" t="s">
        <v>64</v>
      </c>
      <c r="J60" s="9"/>
      <c r="K60" s="9"/>
      <c r="L60" s="9"/>
      <c r="M60" s="8" t="s">
        <v>65</v>
      </c>
      <c r="N60" s="8" t="s">
        <v>71</v>
      </c>
      <c r="O60" s="9"/>
    </row>
    <row r="61" customFormat="false" ht="15" hidden="false" customHeight="false" outlineLevel="0" collapsed="false">
      <c r="A61" s="8" t="s">
        <v>210</v>
      </c>
      <c r="B61" s="8" t="s">
        <v>211</v>
      </c>
      <c r="C61" s="8" t="s">
        <v>209</v>
      </c>
      <c r="D61" s="8"/>
      <c r="E61" s="9"/>
      <c r="F61" s="8"/>
      <c r="G61" s="8" t="n">
        <v>1900</v>
      </c>
      <c r="H61" s="9"/>
      <c r="I61" s="8" t="s">
        <v>64</v>
      </c>
      <c r="J61" s="9"/>
      <c r="K61" s="9"/>
      <c r="L61" s="9"/>
      <c r="M61" s="8" t="s">
        <v>65</v>
      </c>
      <c r="N61" s="8" t="s">
        <v>64</v>
      </c>
      <c r="O61" s="9"/>
    </row>
    <row r="62" customFormat="false" ht="15" hidden="false" customHeight="false" outlineLevel="0" collapsed="false">
      <c r="A62" s="8" t="s">
        <v>212</v>
      </c>
      <c r="B62" s="8" t="s">
        <v>213</v>
      </c>
      <c r="C62" s="8" t="s">
        <v>209</v>
      </c>
      <c r="D62" s="8"/>
      <c r="E62" s="9"/>
      <c r="F62" s="8"/>
      <c r="G62" s="8" t="n">
        <v>1947</v>
      </c>
      <c r="H62" s="9"/>
      <c r="I62" s="8" t="s">
        <v>64</v>
      </c>
      <c r="J62" s="9"/>
      <c r="K62" s="9"/>
      <c r="L62" s="9"/>
      <c r="M62" s="8" t="s">
        <v>65</v>
      </c>
      <c r="N62" s="8" t="s">
        <v>71</v>
      </c>
      <c r="O62" s="9"/>
    </row>
    <row r="63" customFormat="false" ht="15" hidden="false" customHeight="false" outlineLevel="0" collapsed="false">
      <c r="A63" s="8" t="s">
        <v>214</v>
      </c>
      <c r="B63" s="8" t="s">
        <v>215</v>
      </c>
      <c r="C63" s="8" t="s">
        <v>209</v>
      </c>
      <c r="D63" s="8"/>
      <c r="E63" s="9"/>
      <c r="F63" s="8"/>
      <c r="G63" s="8" t="n">
        <v>1954</v>
      </c>
      <c r="H63" s="9"/>
      <c r="I63" s="8" t="s">
        <v>64</v>
      </c>
      <c r="J63" s="9"/>
      <c r="K63" s="9"/>
      <c r="L63" s="9"/>
      <c r="M63" s="8" t="s">
        <v>65</v>
      </c>
      <c r="N63" s="8" t="s">
        <v>71</v>
      </c>
      <c r="O63" s="9"/>
    </row>
    <row r="64" customFormat="false" ht="15" hidden="false" customHeight="false" outlineLevel="0" collapsed="false">
      <c r="A64" s="8" t="s">
        <v>216</v>
      </c>
      <c r="B64" s="8" t="s">
        <v>217</v>
      </c>
      <c r="C64" s="8" t="s">
        <v>209</v>
      </c>
      <c r="D64" s="8"/>
      <c r="E64" s="9"/>
      <c r="F64" s="8"/>
      <c r="G64" s="8" t="n">
        <v>1955</v>
      </c>
      <c r="H64" s="9"/>
      <c r="I64" s="8" t="s">
        <v>64</v>
      </c>
      <c r="J64" s="9"/>
      <c r="K64" s="9"/>
      <c r="L64" s="9"/>
      <c r="M64" s="8" t="s">
        <v>65</v>
      </c>
      <c r="N64" s="8" t="s">
        <v>71</v>
      </c>
      <c r="O64" s="9"/>
    </row>
    <row r="65" customFormat="false" ht="15" hidden="false" customHeight="false" outlineLevel="0" collapsed="false">
      <c r="A65" s="8" t="s">
        <v>218</v>
      </c>
      <c r="B65" s="8" t="s">
        <v>219</v>
      </c>
      <c r="C65" s="8" t="s">
        <v>209</v>
      </c>
      <c r="D65" s="8"/>
      <c r="E65" s="9"/>
      <c r="F65" s="8"/>
      <c r="G65" s="8" t="n">
        <v>1999</v>
      </c>
      <c r="H65" s="9"/>
      <c r="I65" s="8" t="s">
        <v>64</v>
      </c>
      <c r="J65" s="9"/>
      <c r="K65" s="9"/>
      <c r="L65" s="9"/>
      <c r="M65" s="8" t="s">
        <v>65</v>
      </c>
      <c r="N65" s="8" t="s">
        <v>71</v>
      </c>
      <c r="O65" s="9"/>
    </row>
    <row r="66" customFormat="false" ht="15" hidden="false" customHeight="false" outlineLevel="0" collapsed="false">
      <c r="A66" s="8" t="s">
        <v>220</v>
      </c>
      <c r="B66" s="8" t="s">
        <v>221</v>
      </c>
      <c r="C66" s="8" t="s">
        <v>136</v>
      </c>
      <c r="D66" s="8"/>
      <c r="E66" s="9"/>
      <c r="F66" s="8"/>
      <c r="G66" s="8" t="n">
        <v>1923</v>
      </c>
      <c r="H66" s="9"/>
      <c r="I66" s="8" t="s">
        <v>64</v>
      </c>
      <c r="J66" s="9"/>
      <c r="K66" s="9"/>
      <c r="L66" s="9"/>
      <c r="M66" s="8" t="s">
        <v>65</v>
      </c>
      <c r="N66" s="8" t="s">
        <v>71</v>
      </c>
      <c r="O66" s="9"/>
    </row>
    <row r="67" customFormat="false" ht="15" hidden="false" customHeight="false" outlineLevel="0" collapsed="false">
      <c r="A67" s="8" t="s">
        <v>222</v>
      </c>
      <c r="B67" s="8" t="s">
        <v>223</v>
      </c>
      <c r="C67" s="8" t="s">
        <v>136</v>
      </c>
      <c r="D67" s="8"/>
      <c r="E67" s="9"/>
      <c r="F67" s="8"/>
      <c r="G67" s="8" t="n">
        <v>1928</v>
      </c>
      <c r="H67" s="9"/>
      <c r="I67" s="8" t="s">
        <v>64</v>
      </c>
      <c r="J67" s="9"/>
      <c r="K67" s="9"/>
      <c r="L67" s="9"/>
      <c r="M67" s="8" t="s">
        <v>65</v>
      </c>
      <c r="N67" s="8" t="s">
        <v>71</v>
      </c>
      <c r="O67" s="9"/>
    </row>
    <row r="68" customFormat="false" ht="15" hidden="false" customHeight="false" outlineLevel="0" collapsed="false">
      <c r="A68" s="8" t="s">
        <v>224</v>
      </c>
      <c r="B68" s="8" t="s">
        <v>225</v>
      </c>
      <c r="C68" s="8" t="s">
        <v>136</v>
      </c>
      <c r="D68" s="8" t="s">
        <v>152</v>
      </c>
      <c r="E68" s="9"/>
      <c r="F68" s="8"/>
      <c r="G68" s="8"/>
      <c r="H68" s="9"/>
      <c r="I68" s="8"/>
      <c r="J68" s="9"/>
      <c r="K68" s="9"/>
      <c r="L68" s="9"/>
      <c r="M68" s="8" t="s">
        <v>65</v>
      </c>
      <c r="N68" s="8" t="s">
        <v>71</v>
      </c>
      <c r="O68" s="9"/>
    </row>
    <row r="69" customFormat="false" ht="15" hidden="false" customHeight="false" outlineLevel="0" collapsed="false">
      <c r="A69" s="8" t="s">
        <v>226</v>
      </c>
      <c r="B69" s="8" t="s">
        <v>227</v>
      </c>
      <c r="C69" s="8" t="s">
        <v>136</v>
      </c>
      <c r="D69" s="8"/>
      <c r="E69" s="9"/>
      <c r="F69" s="8"/>
      <c r="G69" s="8"/>
      <c r="H69" s="9"/>
      <c r="I69" s="8"/>
      <c r="J69" s="9"/>
      <c r="K69" s="9"/>
      <c r="L69" s="9"/>
      <c r="M69" s="8" t="s">
        <v>65</v>
      </c>
      <c r="N69" s="8" t="s">
        <v>64</v>
      </c>
      <c r="O69" s="9"/>
    </row>
    <row r="70" customFormat="false" ht="15" hidden="false" customHeight="false" outlineLevel="0" collapsed="false">
      <c r="A70" s="8" t="s">
        <v>228</v>
      </c>
      <c r="B70" s="8" t="s">
        <v>229</v>
      </c>
      <c r="C70" s="8" t="s">
        <v>136</v>
      </c>
      <c r="D70" s="8" t="s">
        <v>96</v>
      </c>
      <c r="E70" s="9"/>
      <c r="F70" s="8"/>
      <c r="G70" s="8" t="n">
        <v>1971</v>
      </c>
      <c r="H70" s="9"/>
      <c r="I70" s="8" t="s">
        <v>64</v>
      </c>
      <c r="J70" s="9"/>
      <c r="K70" s="9"/>
      <c r="L70" s="9"/>
      <c r="M70" s="8" t="s">
        <v>65</v>
      </c>
      <c r="N70" s="8" t="s">
        <v>71</v>
      </c>
      <c r="O70" s="9"/>
    </row>
    <row r="71" customFormat="false" ht="15" hidden="false" customHeight="false" outlineLevel="0" collapsed="false">
      <c r="A71" s="8" t="s">
        <v>230</v>
      </c>
      <c r="B71" s="8" t="s">
        <v>231</v>
      </c>
      <c r="C71" s="8" t="s">
        <v>159</v>
      </c>
      <c r="D71" s="8"/>
      <c r="E71" s="9"/>
      <c r="F71" s="8"/>
      <c r="G71" s="8" t="n">
        <v>1932</v>
      </c>
      <c r="H71" s="9"/>
      <c r="I71" s="8" t="s">
        <v>64</v>
      </c>
      <c r="J71" s="9"/>
      <c r="K71" s="9"/>
      <c r="L71" s="9"/>
      <c r="M71" s="8" t="s">
        <v>65</v>
      </c>
      <c r="N71" s="8" t="s">
        <v>71</v>
      </c>
      <c r="O71" s="9"/>
    </row>
    <row r="72" customFormat="false" ht="15" hidden="false" customHeight="false" outlineLevel="0" collapsed="false">
      <c r="A72" s="8" t="s">
        <v>232</v>
      </c>
      <c r="B72" s="8" t="s">
        <v>233</v>
      </c>
      <c r="C72" s="8" t="s">
        <v>159</v>
      </c>
      <c r="D72" s="8"/>
      <c r="E72" s="9"/>
      <c r="F72" s="8"/>
      <c r="G72" s="8" t="n">
        <v>1990</v>
      </c>
      <c r="H72" s="9"/>
      <c r="I72" s="8" t="s">
        <v>64</v>
      </c>
      <c r="J72" s="9"/>
      <c r="K72" s="9"/>
      <c r="L72" s="9"/>
      <c r="M72" s="8" t="s">
        <v>65</v>
      </c>
      <c r="N72" s="8" t="s">
        <v>71</v>
      </c>
      <c r="O72" s="9"/>
    </row>
    <row r="73" customFormat="false" ht="15" hidden="false" customHeight="false" outlineLevel="0" collapsed="false">
      <c r="A73" s="8" t="s">
        <v>234</v>
      </c>
      <c r="B73" s="8" t="s">
        <v>235</v>
      </c>
      <c r="C73" s="8" t="s">
        <v>159</v>
      </c>
      <c r="D73" s="8" t="s">
        <v>63</v>
      </c>
      <c r="E73" s="9"/>
      <c r="F73" s="8"/>
      <c r="G73" s="8" t="n">
        <v>2008</v>
      </c>
      <c r="H73" s="9"/>
      <c r="I73" s="8" t="s">
        <v>64</v>
      </c>
      <c r="J73" s="9"/>
      <c r="K73" s="9"/>
      <c r="L73" s="9"/>
      <c r="M73" s="8" t="s">
        <v>65</v>
      </c>
      <c r="N73" s="8" t="s">
        <v>64</v>
      </c>
      <c r="O73" s="9"/>
    </row>
    <row r="74" customFormat="false" ht="15" hidden="false" customHeight="false" outlineLevel="0" collapsed="false">
      <c r="A74" s="8" t="s">
        <v>236</v>
      </c>
      <c r="B74" s="8" t="s">
        <v>237</v>
      </c>
      <c r="C74" s="8" t="s">
        <v>159</v>
      </c>
      <c r="D74" s="8"/>
      <c r="E74" s="9"/>
      <c r="F74" s="8"/>
      <c r="G74" s="8" t="n">
        <v>2013</v>
      </c>
      <c r="H74" s="9"/>
      <c r="I74" s="8" t="s">
        <v>64</v>
      </c>
      <c r="J74" s="9"/>
      <c r="K74" s="9"/>
      <c r="L74" s="9"/>
      <c r="M74" s="8" t="s">
        <v>65</v>
      </c>
      <c r="N74" s="8" t="s">
        <v>71</v>
      </c>
      <c r="O74" s="9"/>
    </row>
  </sheetData>
  <autoFilter ref="A1:O74"/>
  <dataValidations count="4">
    <dataValidation allowBlank="true" error="Choisis une valeur de la liste (onglet Listes)." errorStyle="stop" errorTitle="Valeur non autorisée" operator="between" showDropDown="false" showErrorMessage="true" showInputMessage="false" sqref="C2:C1000" type="list">
      <formula1>Listes!$A$2:$A$15</formula1>
      <formula2>0</formula2>
    </dataValidation>
    <dataValidation allowBlank="true" error="Choisis une valeur de la liste (onglet Listes)." errorStyle="stop" errorTitle="Valeur non autorisée" operator="between" showDropDown="false" showErrorMessage="true" showInputMessage="false" sqref="I2:I1000" type="list">
      <formula1>Listes!$H$2:$H$3</formula1>
      <formula2>0</formula2>
    </dataValidation>
    <dataValidation allowBlank="true" error="Choisis une valeur de la liste (onglet Listes)." errorStyle="stop" errorTitle="Valeur non autorisée" operator="between" showDropDown="false" showErrorMessage="true" showInputMessage="false" sqref="M2:M1000" type="list">
      <formula1>Listes!$G$2:$G$5</formula1>
      <formula2>0</formula2>
    </dataValidation>
    <dataValidation allowBlank="true" error="Choisis une valeur de la liste (onglet Listes)." errorStyle="stop" errorTitle="Valeur non autorisée" operator="between" showDropDown="false" showErrorMessage="true" showInputMessage="false" sqref="N2:N1000" type="list">
      <formula1>Listes!$H$2:$H$3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70"/>
    <col collapsed="false" customWidth="true" hidden="false" outlineLevel="0" max="5" min="5" style="0" width="36"/>
  </cols>
  <sheetData>
    <row r="1" customFormat="false" ht="30" hidden="false" customHeight="true" outlineLevel="0" collapsed="false">
      <c r="A1" s="7" t="s">
        <v>238</v>
      </c>
      <c r="B1" s="7" t="s">
        <v>239</v>
      </c>
      <c r="C1" s="7" t="s">
        <v>240</v>
      </c>
      <c r="D1" s="7" t="s">
        <v>241</v>
      </c>
      <c r="E1" s="7" t="s">
        <v>60</v>
      </c>
    </row>
    <row r="2" customFormat="false" ht="23.85" hidden="false" customHeight="false" outlineLevel="0" collapsed="false">
      <c r="A2" s="8" t="s">
        <v>188</v>
      </c>
      <c r="B2" s="8" t="s">
        <v>242</v>
      </c>
      <c r="C2" s="8" t="s">
        <v>243</v>
      </c>
      <c r="D2" s="8" t="s">
        <v>244</v>
      </c>
      <c r="E2" s="9"/>
    </row>
    <row r="3" customFormat="false" ht="35.05" hidden="false" customHeight="false" outlineLevel="0" collapsed="false">
      <c r="A3" s="8" t="s">
        <v>188</v>
      </c>
      <c r="B3" s="8" t="s">
        <v>245</v>
      </c>
      <c r="C3" s="8" t="s">
        <v>243</v>
      </c>
      <c r="D3" s="8" t="s">
        <v>246</v>
      </c>
      <c r="E3" s="9"/>
    </row>
    <row r="4" customFormat="false" ht="15" hidden="false" customHeight="false" outlineLevel="0" collapsed="false">
      <c r="A4" s="9"/>
      <c r="B4" s="9"/>
      <c r="C4" s="9"/>
      <c r="D4" s="9"/>
      <c r="E4" s="9"/>
    </row>
    <row r="5" customFormat="false" ht="15" hidden="false" customHeight="false" outlineLevel="0" collapsed="false">
      <c r="A5" s="9"/>
      <c r="B5" s="9"/>
      <c r="C5" s="9"/>
      <c r="D5" s="9"/>
      <c r="E5" s="9"/>
    </row>
    <row r="6" customFormat="false" ht="15" hidden="false" customHeight="false" outlineLevel="0" collapsed="false">
      <c r="A6" s="9"/>
      <c r="B6" s="9"/>
      <c r="C6" s="9"/>
      <c r="D6" s="9"/>
      <c r="E6" s="9"/>
    </row>
    <row r="7" customFormat="false" ht="15" hidden="false" customHeight="false" outlineLevel="0" collapsed="false">
      <c r="A7" s="9"/>
      <c r="B7" s="9"/>
      <c r="C7" s="9"/>
      <c r="D7" s="9"/>
      <c r="E7" s="9"/>
    </row>
    <row r="8" customFormat="false" ht="15" hidden="false" customHeight="false" outlineLevel="0" collapsed="false">
      <c r="A8" s="9"/>
      <c r="B8" s="9"/>
      <c r="C8" s="9"/>
      <c r="D8" s="9"/>
      <c r="E8" s="9"/>
    </row>
    <row r="9" customFormat="false" ht="15" hidden="false" customHeight="false" outlineLevel="0" collapsed="false">
      <c r="A9" s="9"/>
      <c r="B9" s="9"/>
      <c r="C9" s="9"/>
      <c r="D9" s="9"/>
      <c r="E9" s="9"/>
    </row>
    <row r="10" customFormat="false" ht="15" hidden="false" customHeight="false" outlineLevel="0" collapsed="false">
      <c r="A10" s="9"/>
      <c r="B10" s="9"/>
      <c r="C10" s="9"/>
      <c r="D10" s="9"/>
      <c r="E10" s="9"/>
    </row>
    <row r="11" customFormat="false" ht="15" hidden="false" customHeight="false" outlineLevel="0" collapsed="false">
      <c r="A11" s="9"/>
      <c r="B11" s="9"/>
      <c r="C11" s="9"/>
      <c r="D11" s="9"/>
      <c r="E11" s="9"/>
    </row>
    <row r="12" customFormat="false" ht="15" hidden="false" customHeight="false" outlineLevel="0" collapsed="false">
      <c r="A12" s="9"/>
      <c r="B12" s="9"/>
      <c r="C12" s="9"/>
      <c r="D12" s="9"/>
      <c r="E12" s="9"/>
    </row>
    <row r="13" customFormat="false" ht="15" hidden="false" customHeight="false" outlineLevel="0" collapsed="false">
      <c r="A13" s="9"/>
      <c r="B13" s="9"/>
      <c r="C13" s="9"/>
      <c r="D13" s="9"/>
      <c r="E13" s="9"/>
    </row>
    <row r="14" customFormat="false" ht="15" hidden="false" customHeight="false" outlineLevel="0" collapsed="false">
      <c r="A14" s="9"/>
      <c r="B14" s="9"/>
      <c r="C14" s="9"/>
      <c r="D14" s="9"/>
      <c r="E14" s="9"/>
    </row>
    <row r="15" customFormat="false" ht="15" hidden="false" customHeight="false" outlineLevel="0" collapsed="false">
      <c r="A15" s="9"/>
      <c r="B15" s="9"/>
      <c r="C15" s="9"/>
      <c r="D15" s="9"/>
      <c r="E15" s="9"/>
    </row>
    <row r="16" customFormat="false" ht="15" hidden="false" customHeight="false" outlineLevel="0" collapsed="false">
      <c r="A16" s="9"/>
      <c r="B16" s="9"/>
      <c r="C16" s="9"/>
      <c r="D16" s="9"/>
      <c r="E16" s="9"/>
    </row>
    <row r="17" customFormat="false" ht="15" hidden="false" customHeight="false" outlineLevel="0" collapsed="false">
      <c r="A17" s="9"/>
      <c r="B17" s="9"/>
      <c r="C17" s="9"/>
      <c r="D17" s="9"/>
      <c r="E17" s="9"/>
    </row>
    <row r="18" customFormat="false" ht="15" hidden="false" customHeight="false" outlineLevel="0" collapsed="false">
      <c r="A18" s="9"/>
      <c r="B18" s="9"/>
      <c r="C18" s="9"/>
      <c r="D18" s="9"/>
      <c r="E18" s="9"/>
    </row>
    <row r="19" customFormat="false" ht="15" hidden="false" customHeight="false" outlineLevel="0" collapsed="false">
      <c r="A19" s="9"/>
      <c r="B19" s="9"/>
      <c r="C19" s="9"/>
      <c r="D19" s="9"/>
      <c r="E19" s="9"/>
    </row>
    <row r="20" customFormat="false" ht="15" hidden="false" customHeight="false" outlineLevel="0" collapsed="false">
      <c r="A20" s="9"/>
      <c r="B20" s="9"/>
      <c r="C20" s="9"/>
      <c r="D20" s="9"/>
      <c r="E20" s="9"/>
    </row>
    <row r="21" customFormat="false" ht="15" hidden="false" customHeight="false" outlineLevel="0" collapsed="false">
      <c r="A21" s="9"/>
      <c r="B21" s="9"/>
      <c r="C21" s="9"/>
      <c r="D21" s="9"/>
      <c r="E21" s="9"/>
    </row>
    <row r="22" customFormat="false" ht="15" hidden="false" customHeight="false" outlineLevel="0" collapsed="false">
      <c r="A22" s="9"/>
      <c r="B22" s="9"/>
      <c r="C22" s="9"/>
      <c r="D22" s="9"/>
      <c r="E22" s="9"/>
    </row>
    <row r="23" customFormat="false" ht="15" hidden="false" customHeight="false" outlineLevel="0" collapsed="false">
      <c r="A23" s="9"/>
      <c r="B23" s="9"/>
      <c r="C23" s="9"/>
      <c r="D23" s="9"/>
      <c r="E23" s="9"/>
    </row>
    <row r="24" customFormat="false" ht="15" hidden="false" customHeight="false" outlineLevel="0" collapsed="false">
      <c r="A24" s="9"/>
      <c r="B24" s="9"/>
      <c r="C24" s="9"/>
      <c r="D24" s="9"/>
      <c r="E24" s="9"/>
    </row>
    <row r="25" customFormat="false" ht="15" hidden="false" customHeight="false" outlineLevel="0" collapsed="false">
      <c r="A25" s="9"/>
      <c r="B25" s="9"/>
      <c r="C25" s="9"/>
      <c r="D25" s="9"/>
      <c r="E25" s="9"/>
    </row>
    <row r="26" customFormat="false" ht="15" hidden="false" customHeight="false" outlineLevel="0" collapsed="false">
      <c r="A26" s="9"/>
      <c r="B26" s="9"/>
      <c r="C26" s="9"/>
      <c r="D26" s="9"/>
      <c r="E26" s="9"/>
    </row>
    <row r="27" customFormat="false" ht="15" hidden="false" customHeight="false" outlineLevel="0" collapsed="false">
      <c r="A27" s="9"/>
      <c r="B27" s="9"/>
      <c r="C27" s="9"/>
      <c r="D27" s="9"/>
      <c r="E27" s="9"/>
    </row>
    <row r="28" customFormat="false" ht="15" hidden="false" customHeight="false" outlineLevel="0" collapsed="false">
      <c r="A28" s="9"/>
      <c r="B28" s="9"/>
      <c r="C28" s="9"/>
      <c r="D28" s="9"/>
      <c r="E28" s="9"/>
    </row>
    <row r="29" customFormat="false" ht="15" hidden="false" customHeight="false" outlineLevel="0" collapsed="false">
      <c r="A29" s="9"/>
      <c r="B29" s="9"/>
      <c r="C29" s="9"/>
      <c r="D29" s="9"/>
      <c r="E29" s="9"/>
    </row>
    <row r="30" customFormat="false" ht="15" hidden="false" customHeight="false" outlineLevel="0" collapsed="false">
      <c r="A30" s="9"/>
      <c r="B30" s="9"/>
      <c r="C30" s="9"/>
      <c r="D30" s="9"/>
      <c r="E30" s="9"/>
    </row>
    <row r="31" customFormat="false" ht="15" hidden="false" customHeight="false" outlineLevel="0" collapsed="false">
      <c r="A31" s="9"/>
      <c r="B31" s="9"/>
      <c r="C31" s="9"/>
      <c r="D31" s="9"/>
      <c r="E31" s="9"/>
    </row>
    <row r="32" customFormat="false" ht="15" hidden="false" customHeight="false" outlineLevel="0" collapsed="false">
      <c r="A32" s="9"/>
      <c r="B32" s="9"/>
      <c r="C32" s="9"/>
      <c r="D32" s="9"/>
      <c r="E32" s="9"/>
    </row>
    <row r="33" customFormat="false" ht="15" hidden="false" customHeight="false" outlineLevel="0" collapsed="false">
      <c r="A33" s="9"/>
      <c r="B33" s="9"/>
      <c r="C33" s="9"/>
      <c r="D33" s="9"/>
      <c r="E33" s="9"/>
    </row>
    <row r="34" customFormat="false" ht="15" hidden="false" customHeight="false" outlineLevel="0" collapsed="false">
      <c r="A34" s="9"/>
      <c r="B34" s="9"/>
      <c r="C34" s="9"/>
      <c r="D34" s="9"/>
      <c r="E34" s="9"/>
    </row>
    <row r="35" customFormat="false" ht="15" hidden="false" customHeight="false" outlineLevel="0" collapsed="false">
      <c r="A35" s="9"/>
      <c r="B35" s="9"/>
      <c r="C35" s="9"/>
      <c r="D35" s="9"/>
      <c r="E35" s="9"/>
    </row>
    <row r="36" customFormat="false" ht="15" hidden="false" customHeight="false" outlineLevel="0" collapsed="false">
      <c r="A36" s="9"/>
      <c r="B36" s="9"/>
      <c r="C36" s="9"/>
      <c r="D36" s="9"/>
      <c r="E36" s="9"/>
    </row>
    <row r="37" customFormat="false" ht="15" hidden="false" customHeight="false" outlineLevel="0" collapsed="false">
      <c r="A37" s="9"/>
      <c r="B37" s="9"/>
      <c r="C37" s="9"/>
      <c r="D37" s="9"/>
      <c r="E37" s="9"/>
    </row>
    <row r="38" customFormat="false" ht="15" hidden="false" customHeight="false" outlineLevel="0" collapsed="false">
      <c r="A38" s="9"/>
      <c r="B38" s="9"/>
      <c r="C38" s="9"/>
      <c r="D38" s="9"/>
      <c r="E38" s="9"/>
    </row>
    <row r="39" customFormat="false" ht="15" hidden="false" customHeight="false" outlineLevel="0" collapsed="false">
      <c r="A39" s="9"/>
      <c r="B39" s="9"/>
      <c r="C39" s="9"/>
      <c r="D39" s="9"/>
      <c r="E39" s="9"/>
    </row>
    <row r="40" customFormat="false" ht="15" hidden="false" customHeight="false" outlineLevel="0" collapsed="false">
      <c r="A40" s="9"/>
      <c r="B40" s="9"/>
      <c r="C40" s="9"/>
      <c r="D40" s="9"/>
      <c r="E40" s="9"/>
    </row>
    <row r="41" customFormat="false" ht="15" hidden="false" customHeight="false" outlineLevel="0" collapsed="false">
      <c r="A41" s="9"/>
      <c r="B41" s="9"/>
      <c r="C41" s="9"/>
      <c r="D41" s="9"/>
      <c r="E41" s="9"/>
    </row>
    <row r="42" customFormat="false" ht="15" hidden="false" customHeight="false" outlineLevel="0" collapsed="false">
      <c r="A42" s="9"/>
      <c r="B42" s="9"/>
      <c r="C42" s="9"/>
      <c r="D42" s="9"/>
      <c r="E42" s="9"/>
    </row>
    <row r="43" customFormat="false" ht="15" hidden="false" customHeight="false" outlineLevel="0" collapsed="false">
      <c r="A43" s="9"/>
      <c r="B43" s="9"/>
      <c r="C43" s="9"/>
      <c r="D43" s="9"/>
      <c r="E43" s="9"/>
    </row>
    <row r="44" customFormat="false" ht="15" hidden="false" customHeight="false" outlineLevel="0" collapsed="false">
      <c r="A44" s="9"/>
      <c r="B44" s="9"/>
      <c r="C44" s="9"/>
      <c r="D44" s="9"/>
      <c r="E44" s="9"/>
    </row>
    <row r="45" customFormat="false" ht="15" hidden="false" customHeight="false" outlineLevel="0" collapsed="false">
      <c r="A45" s="9"/>
      <c r="B45" s="9"/>
      <c r="C45" s="9"/>
      <c r="D45" s="9"/>
      <c r="E45" s="9"/>
    </row>
    <row r="46" customFormat="false" ht="15" hidden="false" customHeight="false" outlineLevel="0" collapsed="false">
      <c r="A46" s="9"/>
      <c r="B46" s="9"/>
      <c r="C46" s="9"/>
      <c r="D46" s="9"/>
      <c r="E46" s="9"/>
    </row>
    <row r="47" customFormat="false" ht="15" hidden="false" customHeight="false" outlineLevel="0" collapsed="false">
      <c r="A47" s="9"/>
      <c r="B47" s="9"/>
      <c r="C47" s="9"/>
      <c r="D47" s="9"/>
      <c r="E47" s="9"/>
    </row>
    <row r="48" customFormat="false" ht="15" hidden="false" customHeight="false" outlineLevel="0" collapsed="false">
      <c r="A48" s="9"/>
      <c r="B48" s="9"/>
      <c r="C48" s="9"/>
      <c r="D48" s="9"/>
      <c r="E48" s="9"/>
    </row>
    <row r="49" customFormat="false" ht="15" hidden="false" customHeight="false" outlineLevel="0" collapsed="false">
      <c r="A49" s="9"/>
      <c r="B49" s="9"/>
      <c r="C49" s="9"/>
      <c r="D49" s="9"/>
      <c r="E49" s="9"/>
    </row>
    <row r="50" customFormat="false" ht="15" hidden="false" customHeight="false" outlineLevel="0" collapsed="false">
      <c r="A50" s="9"/>
      <c r="B50" s="9"/>
      <c r="C50" s="9"/>
      <c r="D50" s="9"/>
      <c r="E50" s="9"/>
    </row>
    <row r="51" customFormat="false" ht="15" hidden="false" customHeight="false" outlineLevel="0" collapsed="false">
      <c r="A51" s="9"/>
      <c r="B51" s="9"/>
      <c r="C51" s="9"/>
      <c r="D51" s="9"/>
      <c r="E51" s="9"/>
    </row>
    <row r="52" customFormat="false" ht="15" hidden="false" customHeight="false" outlineLevel="0" collapsed="false">
      <c r="A52" s="9"/>
      <c r="B52" s="9"/>
      <c r="C52" s="9"/>
      <c r="D52" s="9"/>
      <c r="E52" s="9"/>
    </row>
    <row r="53" customFormat="false" ht="15" hidden="false" customHeight="false" outlineLevel="0" collapsed="false">
      <c r="A53" s="9"/>
      <c r="B53" s="9"/>
      <c r="C53" s="9"/>
      <c r="D53" s="9"/>
      <c r="E53" s="9"/>
    </row>
    <row r="54" customFormat="false" ht="15" hidden="false" customHeight="false" outlineLevel="0" collapsed="false">
      <c r="A54" s="9"/>
      <c r="B54" s="9"/>
      <c r="C54" s="9"/>
      <c r="D54" s="9"/>
      <c r="E54" s="9"/>
    </row>
    <row r="55" customFormat="false" ht="15" hidden="false" customHeight="false" outlineLevel="0" collapsed="false">
      <c r="A55" s="9"/>
      <c r="B55" s="9"/>
      <c r="C55" s="9"/>
      <c r="D55" s="9"/>
      <c r="E55" s="9"/>
    </row>
    <row r="56" customFormat="false" ht="15" hidden="false" customHeight="false" outlineLevel="0" collapsed="false">
      <c r="A56" s="9"/>
      <c r="B56" s="9"/>
      <c r="C56" s="9"/>
      <c r="D56" s="9"/>
      <c r="E56" s="9"/>
    </row>
    <row r="57" customFormat="false" ht="15" hidden="false" customHeight="false" outlineLevel="0" collapsed="false">
      <c r="A57" s="9"/>
      <c r="B57" s="9"/>
      <c r="C57" s="9"/>
      <c r="D57" s="9"/>
      <c r="E57" s="9"/>
    </row>
    <row r="58" customFormat="false" ht="15" hidden="false" customHeight="false" outlineLevel="0" collapsed="false">
      <c r="A58" s="9"/>
      <c r="B58" s="9"/>
      <c r="C58" s="9"/>
      <c r="D58" s="9"/>
      <c r="E58" s="9"/>
    </row>
    <row r="59" customFormat="false" ht="15" hidden="false" customHeight="false" outlineLevel="0" collapsed="false">
      <c r="A59" s="9"/>
      <c r="B59" s="9"/>
      <c r="C59" s="9"/>
      <c r="D59" s="9"/>
      <c r="E59" s="9"/>
    </row>
  </sheetData>
  <dataValidations count="2">
    <dataValidation allowBlank="true" error="Choisis une valeur de la liste (onglet Listes)." errorStyle="stop" errorTitle="Valeur non autorisée" operator="between" showDropDown="false" showErrorMessage="true" showInputMessage="false" sqref="C2:C1000" type="list">
      <formula1>Listes!$D$2:$D$5</formula1>
      <formula2>0</formula2>
    </dataValidation>
    <dataValidation allowBlank="true" errorStyle="stop" operator="between" showDropDown="false" showErrorMessage="false" showInputMessage="false" sqref="A2:A1000" type="list">
      <formula1>Courants!$A$2:$A$74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4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6" min="5" style="0" width="40"/>
    <col collapsed="false" customWidth="true" hidden="false" outlineLevel="0" max="7" min="7" style="0" width="10"/>
  </cols>
  <sheetData>
    <row r="1" customFormat="false" ht="30" hidden="false" customHeight="true" outlineLevel="0" collapsed="false">
      <c r="A1" s="7" t="s">
        <v>247</v>
      </c>
      <c r="B1" s="7" t="s">
        <v>248</v>
      </c>
      <c r="C1" s="7" t="s">
        <v>249</v>
      </c>
      <c r="D1" s="7" t="s">
        <v>250</v>
      </c>
      <c r="E1" s="7" t="s">
        <v>251</v>
      </c>
      <c r="F1" s="7" t="s">
        <v>60</v>
      </c>
      <c r="G1" s="7" t="s">
        <v>54</v>
      </c>
    </row>
    <row r="2" customFormat="false" ht="15" hidden="false" customHeight="false" outlineLevel="0" collapsed="false">
      <c r="A2" s="8" t="s">
        <v>61</v>
      </c>
      <c r="B2" s="8" t="s">
        <v>72</v>
      </c>
      <c r="C2" s="8" t="s">
        <v>252</v>
      </c>
      <c r="D2" s="8"/>
      <c r="E2" s="8"/>
      <c r="F2" s="9"/>
      <c r="G2" s="8" t="s">
        <v>64</v>
      </c>
    </row>
    <row r="3" customFormat="false" ht="15" hidden="false" customHeight="false" outlineLevel="0" collapsed="false">
      <c r="A3" s="8" t="s">
        <v>61</v>
      </c>
      <c r="B3" s="8" t="s">
        <v>74</v>
      </c>
      <c r="C3" s="8" t="s">
        <v>252</v>
      </c>
      <c r="D3" s="8"/>
      <c r="E3" s="8"/>
      <c r="F3" s="9"/>
      <c r="G3" s="8" t="s">
        <v>64</v>
      </c>
    </row>
    <row r="4" customFormat="false" ht="15" hidden="false" customHeight="false" outlineLevel="0" collapsed="false">
      <c r="A4" s="8" t="s">
        <v>61</v>
      </c>
      <c r="B4" s="8" t="s">
        <v>76</v>
      </c>
      <c r="C4" s="8" t="s">
        <v>252</v>
      </c>
      <c r="D4" s="8"/>
      <c r="E4" s="8"/>
      <c r="F4" s="9"/>
      <c r="G4" s="8" t="s">
        <v>64</v>
      </c>
    </row>
    <row r="5" customFormat="false" ht="15" hidden="false" customHeight="false" outlineLevel="0" collapsed="false">
      <c r="A5" s="8" t="s">
        <v>61</v>
      </c>
      <c r="B5" s="8" t="s">
        <v>78</v>
      </c>
      <c r="C5" s="8" t="s">
        <v>252</v>
      </c>
      <c r="D5" s="8"/>
      <c r="E5" s="8"/>
      <c r="F5" s="9"/>
      <c r="G5" s="8" t="s">
        <v>64</v>
      </c>
    </row>
    <row r="6" customFormat="false" ht="15" hidden="false" customHeight="false" outlineLevel="0" collapsed="false">
      <c r="A6" s="8" t="s">
        <v>61</v>
      </c>
      <c r="B6" s="8" t="s">
        <v>66</v>
      </c>
      <c r="C6" s="8" t="s">
        <v>252</v>
      </c>
      <c r="D6" s="8"/>
      <c r="E6" s="8"/>
      <c r="F6" s="9"/>
      <c r="G6" s="8" t="s">
        <v>64</v>
      </c>
    </row>
    <row r="7" customFormat="false" ht="15" hidden="false" customHeight="false" outlineLevel="0" collapsed="false">
      <c r="A7" s="8" t="s">
        <v>66</v>
      </c>
      <c r="B7" s="8" t="s">
        <v>126</v>
      </c>
      <c r="C7" s="8" t="s">
        <v>252</v>
      </c>
      <c r="D7" s="8"/>
      <c r="E7" s="8"/>
      <c r="F7" s="9"/>
      <c r="G7" s="8" t="s">
        <v>64</v>
      </c>
    </row>
    <row r="8" customFormat="false" ht="15" hidden="false" customHeight="false" outlineLevel="0" collapsed="false">
      <c r="A8" s="8" t="s">
        <v>78</v>
      </c>
      <c r="B8" s="8" t="s">
        <v>126</v>
      </c>
      <c r="C8" s="8" t="s">
        <v>252</v>
      </c>
      <c r="D8" s="8"/>
      <c r="E8" s="8"/>
      <c r="F8" s="9"/>
      <c r="G8" s="8" t="s">
        <v>64</v>
      </c>
    </row>
    <row r="9" customFormat="false" ht="15" hidden="false" customHeight="false" outlineLevel="0" collapsed="false">
      <c r="A9" s="8" t="s">
        <v>78</v>
      </c>
      <c r="B9" s="8" t="s">
        <v>234</v>
      </c>
      <c r="C9" s="8" t="s">
        <v>252</v>
      </c>
      <c r="D9" s="8"/>
      <c r="E9" s="8"/>
      <c r="F9" s="9"/>
      <c r="G9" s="8" t="s">
        <v>64</v>
      </c>
    </row>
    <row r="10" customFormat="false" ht="15" hidden="false" customHeight="false" outlineLevel="0" collapsed="false">
      <c r="A10" s="8" t="s">
        <v>234</v>
      </c>
      <c r="B10" s="8" t="s">
        <v>160</v>
      </c>
      <c r="C10" s="8" t="s">
        <v>252</v>
      </c>
      <c r="D10" s="8"/>
      <c r="E10" s="8"/>
      <c r="F10" s="9"/>
      <c r="G10" s="8" t="s">
        <v>64</v>
      </c>
    </row>
    <row r="11" customFormat="false" ht="15" hidden="false" customHeight="false" outlineLevel="0" collapsed="false">
      <c r="A11" s="8" t="s">
        <v>89</v>
      </c>
      <c r="B11" s="8" t="s">
        <v>102</v>
      </c>
      <c r="C11" s="8" t="s">
        <v>252</v>
      </c>
      <c r="D11" s="8"/>
      <c r="E11" s="8"/>
      <c r="F11" s="9"/>
      <c r="G11" s="8" t="s">
        <v>64</v>
      </c>
    </row>
    <row r="12" customFormat="false" ht="15" hidden="false" customHeight="false" outlineLevel="0" collapsed="false">
      <c r="A12" s="8" t="s">
        <v>102</v>
      </c>
      <c r="B12" s="8" t="s">
        <v>105</v>
      </c>
      <c r="C12" s="8" t="s">
        <v>252</v>
      </c>
      <c r="D12" s="8"/>
      <c r="E12" s="8"/>
      <c r="F12" s="9"/>
      <c r="G12" s="8" t="s">
        <v>64</v>
      </c>
    </row>
    <row r="13" customFormat="false" ht="15" hidden="false" customHeight="false" outlineLevel="0" collapsed="false">
      <c r="A13" s="8" t="s">
        <v>105</v>
      </c>
      <c r="B13" s="8" t="s">
        <v>111</v>
      </c>
      <c r="C13" s="8" t="s">
        <v>252</v>
      </c>
      <c r="D13" s="8"/>
      <c r="E13" s="8"/>
      <c r="F13" s="9"/>
      <c r="G13" s="8" t="s">
        <v>64</v>
      </c>
    </row>
    <row r="14" customFormat="false" ht="15" hidden="false" customHeight="false" outlineLevel="0" collapsed="false">
      <c r="A14" s="8" t="s">
        <v>111</v>
      </c>
      <c r="B14" s="8" t="s">
        <v>115</v>
      </c>
      <c r="C14" s="8" t="s">
        <v>252</v>
      </c>
      <c r="D14" s="8"/>
      <c r="E14" s="8"/>
      <c r="F14" s="9"/>
      <c r="G14" s="8" t="s">
        <v>64</v>
      </c>
    </row>
    <row r="15" customFormat="false" ht="15" hidden="false" customHeight="false" outlineLevel="0" collapsed="false">
      <c r="A15" s="8" t="s">
        <v>105</v>
      </c>
      <c r="B15" s="8" t="s">
        <v>113</v>
      </c>
      <c r="C15" s="8" t="s">
        <v>252</v>
      </c>
      <c r="D15" s="8"/>
      <c r="E15" s="8"/>
      <c r="F15" s="9"/>
      <c r="G15" s="8" t="s">
        <v>64</v>
      </c>
    </row>
    <row r="16" customFormat="false" ht="15" hidden="false" customHeight="false" outlineLevel="0" collapsed="false">
      <c r="A16" s="8" t="s">
        <v>105</v>
      </c>
      <c r="B16" s="8" t="s">
        <v>107</v>
      </c>
      <c r="C16" s="8" t="s">
        <v>252</v>
      </c>
      <c r="D16" s="8"/>
      <c r="E16" s="8"/>
      <c r="F16" s="9"/>
      <c r="G16" s="8" t="s">
        <v>64</v>
      </c>
    </row>
    <row r="17" customFormat="false" ht="15" hidden="false" customHeight="false" outlineLevel="0" collapsed="false">
      <c r="A17" s="8" t="s">
        <v>102</v>
      </c>
      <c r="B17" s="8" t="s">
        <v>109</v>
      </c>
      <c r="C17" s="8" t="s">
        <v>252</v>
      </c>
      <c r="D17" s="8"/>
      <c r="E17" s="8"/>
      <c r="F17" s="9"/>
      <c r="G17" s="8" t="s">
        <v>64</v>
      </c>
    </row>
    <row r="18" customFormat="false" ht="15" hidden="false" customHeight="false" outlineLevel="0" collapsed="false">
      <c r="A18" s="8" t="s">
        <v>102</v>
      </c>
      <c r="B18" s="8" t="s">
        <v>94</v>
      </c>
      <c r="C18" s="8" t="s">
        <v>252</v>
      </c>
      <c r="D18" s="8"/>
      <c r="E18" s="8"/>
      <c r="F18" s="9"/>
      <c r="G18" s="8" t="s">
        <v>64</v>
      </c>
    </row>
    <row r="19" customFormat="false" ht="15" hidden="false" customHeight="false" outlineLevel="0" collapsed="false">
      <c r="A19" s="8" t="s">
        <v>105</v>
      </c>
      <c r="B19" s="8" t="s">
        <v>117</v>
      </c>
      <c r="C19" s="8" t="s">
        <v>252</v>
      </c>
      <c r="D19" s="8"/>
      <c r="E19" s="8"/>
      <c r="F19" s="9"/>
      <c r="G19" s="8" t="s">
        <v>64</v>
      </c>
    </row>
    <row r="20" customFormat="false" ht="15" hidden="false" customHeight="false" outlineLevel="0" collapsed="false">
      <c r="A20" s="8" t="s">
        <v>94</v>
      </c>
      <c r="B20" s="8" t="s">
        <v>100</v>
      </c>
      <c r="C20" s="8" t="s">
        <v>252</v>
      </c>
      <c r="D20" s="8"/>
      <c r="E20" s="8"/>
      <c r="F20" s="9"/>
      <c r="G20" s="8" t="s">
        <v>64</v>
      </c>
    </row>
    <row r="21" customFormat="false" ht="15" hidden="false" customHeight="false" outlineLevel="0" collapsed="false">
      <c r="A21" s="8" t="s">
        <v>119</v>
      </c>
      <c r="B21" s="8" t="s">
        <v>122</v>
      </c>
      <c r="C21" s="8" t="s">
        <v>252</v>
      </c>
      <c r="D21" s="8"/>
      <c r="E21" s="8"/>
      <c r="F21" s="9"/>
      <c r="G21" s="8" t="s">
        <v>64</v>
      </c>
    </row>
    <row r="22" customFormat="false" ht="15" hidden="false" customHeight="false" outlineLevel="0" collapsed="false">
      <c r="A22" s="8" t="s">
        <v>122</v>
      </c>
      <c r="B22" s="8" t="s">
        <v>124</v>
      </c>
      <c r="C22" s="8" t="s">
        <v>252</v>
      </c>
      <c r="D22" s="8"/>
      <c r="E22" s="8"/>
      <c r="F22" s="9"/>
      <c r="G22" s="8" t="s">
        <v>64</v>
      </c>
    </row>
    <row r="23" customFormat="false" ht="15" hidden="false" customHeight="false" outlineLevel="0" collapsed="false">
      <c r="A23" s="8" t="s">
        <v>122</v>
      </c>
      <c r="B23" s="8" t="s">
        <v>128</v>
      </c>
      <c r="C23" s="8" t="s">
        <v>252</v>
      </c>
      <c r="D23" s="8"/>
      <c r="E23" s="8"/>
      <c r="F23" s="9"/>
      <c r="G23" s="8" t="s">
        <v>64</v>
      </c>
    </row>
    <row r="24" customFormat="false" ht="15" hidden="false" customHeight="false" outlineLevel="0" collapsed="false">
      <c r="A24" s="8" t="s">
        <v>132</v>
      </c>
      <c r="B24" s="8" t="s">
        <v>143</v>
      </c>
      <c r="C24" s="8" t="s">
        <v>252</v>
      </c>
      <c r="D24" s="8"/>
      <c r="E24" s="8"/>
      <c r="F24" s="9"/>
      <c r="G24" s="8" t="s">
        <v>64</v>
      </c>
    </row>
    <row r="25" customFormat="false" ht="15" hidden="false" customHeight="false" outlineLevel="0" collapsed="false">
      <c r="A25" s="8" t="s">
        <v>150</v>
      </c>
      <c r="B25" s="8" t="s">
        <v>153</v>
      </c>
      <c r="C25" s="8" t="s">
        <v>252</v>
      </c>
      <c r="D25" s="8"/>
      <c r="E25" s="8"/>
      <c r="F25" s="9"/>
      <c r="G25" s="8" t="s">
        <v>64</v>
      </c>
    </row>
    <row r="26" customFormat="false" ht="15" hidden="false" customHeight="false" outlineLevel="0" collapsed="false">
      <c r="A26" s="8" t="s">
        <v>80</v>
      </c>
      <c r="B26" s="8" t="s">
        <v>83</v>
      </c>
      <c r="C26" s="8" t="s">
        <v>252</v>
      </c>
      <c r="D26" s="8"/>
      <c r="E26" s="8"/>
      <c r="F26" s="9"/>
      <c r="G26" s="8" t="s">
        <v>64</v>
      </c>
    </row>
    <row r="27" customFormat="false" ht="15" hidden="false" customHeight="false" outlineLevel="0" collapsed="false">
      <c r="A27" s="8" t="s">
        <v>83</v>
      </c>
      <c r="B27" s="8" t="s">
        <v>85</v>
      </c>
      <c r="C27" s="8" t="s">
        <v>252</v>
      </c>
      <c r="D27" s="8"/>
      <c r="E27" s="8"/>
      <c r="F27" s="9"/>
      <c r="G27" s="8" t="s">
        <v>64</v>
      </c>
    </row>
    <row r="28" customFormat="false" ht="15" hidden="false" customHeight="false" outlineLevel="0" collapsed="false">
      <c r="A28" s="8" t="s">
        <v>80</v>
      </c>
      <c r="B28" s="8" t="s">
        <v>176</v>
      </c>
      <c r="C28" s="8" t="s">
        <v>252</v>
      </c>
      <c r="D28" s="8"/>
      <c r="E28" s="8"/>
      <c r="F28" s="9"/>
      <c r="G28" s="8" t="s">
        <v>64</v>
      </c>
    </row>
    <row r="29" customFormat="false" ht="15" hidden="false" customHeight="false" outlineLevel="0" collapsed="false">
      <c r="A29" s="8" t="s">
        <v>163</v>
      </c>
      <c r="B29" s="8" t="s">
        <v>171</v>
      </c>
      <c r="C29" s="8" t="s">
        <v>252</v>
      </c>
      <c r="D29" s="8"/>
      <c r="E29" s="8"/>
      <c r="F29" s="9"/>
      <c r="G29" s="8" t="s">
        <v>64</v>
      </c>
    </row>
    <row r="30" customFormat="false" ht="15" hidden="false" customHeight="false" outlineLevel="0" collapsed="false">
      <c r="A30" s="8" t="s">
        <v>182</v>
      </c>
      <c r="B30" s="8" t="s">
        <v>184</v>
      </c>
      <c r="C30" s="8" t="s">
        <v>252</v>
      </c>
      <c r="D30" s="8"/>
      <c r="E30" s="8"/>
      <c r="F30" s="9"/>
      <c r="G30" s="8" t="s">
        <v>64</v>
      </c>
    </row>
    <row r="31" customFormat="false" ht="15" hidden="false" customHeight="false" outlineLevel="0" collapsed="false">
      <c r="A31" s="8" t="s">
        <v>182</v>
      </c>
      <c r="B31" s="8" t="s">
        <v>195</v>
      </c>
      <c r="C31" s="8" t="s">
        <v>252</v>
      </c>
      <c r="D31" s="8"/>
      <c r="E31" s="8"/>
      <c r="F31" s="9"/>
      <c r="G31" s="8" t="s">
        <v>64</v>
      </c>
    </row>
    <row r="32" customFormat="false" ht="15" hidden="false" customHeight="false" outlineLevel="0" collapsed="false">
      <c r="A32" s="8" t="s">
        <v>182</v>
      </c>
      <c r="B32" s="8" t="s">
        <v>188</v>
      </c>
      <c r="C32" s="8" t="s">
        <v>252</v>
      </c>
      <c r="D32" s="8"/>
      <c r="E32" s="8"/>
      <c r="F32" s="9"/>
      <c r="G32" s="8" t="s">
        <v>64</v>
      </c>
    </row>
    <row r="33" customFormat="false" ht="15" hidden="false" customHeight="false" outlineLevel="0" collapsed="false">
      <c r="A33" s="8" t="s">
        <v>199</v>
      </c>
      <c r="B33" s="8" t="s">
        <v>203</v>
      </c>
      <c r="C33" s="8" t="s">
        <v>252</v>
      </c>
      <c r="D33" s="8"/>
      <c r="E33" s="8"/>
      <c r="F33" s="9"/>
      <c r="G33" s="8" t="s">
        <v>64</v>
      </c>
    </row>
    <row r="34" customFormat="false" ht="15" hidden="false" customHeight="false" outlineLevel="0" collapsed="false">
      <c r="A34" s="8" t="s">
        <v>203</v>
      </c>
      <c r="B34" s="8" t="s">
        <v>205</v>
      </c>
      <c r="C34" s="8" t="s">
        <v>252</v>
      </c>
      <c r="D34" s="8"/>
      <c r="E34" s="8"/>
      <c r="F34" s="9"/>
      <c r="G34" s="8" t="s">
        <v>64</v>
      </c>
    </row>
    <row r="35" customFormat="false" ht="15" hidden="false" customHeight="false" outlineLevel="0" collapsed="false">
      <c r="A35" s="8" t="s">
        <v>111</v>
      </c>
      <c r="B35" s="8" t="s">
        <v>143</v>
      </c>
      <c r="C35" s="8" t="s">
        <v>253</v>
      </c>
      <c r="D35" s="8"/>
      <c r="E35" s="8"/>
      <c r="F35" s="9"/>
      <c r="G35" s="8" t="s">
        <v>64</v>
      </c>
    </row>
    <row r="36" customFormat="false" ht="15" hidden="false" customHeight="false" outlineLevel="0" collapsed="false">
      <c r="A36" s="8" t="s">
        <v>176</v>
      </c>
      <c r="B36" s="8" t="s">
        <v>140</v>
      </c>
      <c r="C36" s="8" t="s">
        <v>253</v>
      </c>
      <c r="D36" s="8"/>
      <c r="E36" s="8"/>
      <c r="F36" s="9"/>
      <c r="G36" s="8" t="s">
        <v>64</v>
      </c>
    </row>
    <row r="37" customFormat="false" ht="15" hidden="false" customHeight="false" outlineLevel="0" collapsed="false">
      <c r="A37" s="8" t="s">
        <v>205</v>
      </c>
      <c r="B37" s="8" t="s">
        <v>207</v>
      </c>
      <c r="C37" s="8" t="s">
        <v>253</v>
      </c>
      <c r="D37" s="8"/>
      <c r="E37" s="8"/>
      <c r="F37" s="9"/>
      <c r="G37" s="8" t="s">
        <v>64</v>
      </c>
    </row>
    <row r="38" customFormat="false" ht="15" hidden="false" customHeight="false" outlineLevel="0" collapsed="false">
      <c r="A38" s="8" t="s">
        <v>102</v>
      </c>
      <c r="B38" s="8" t="s">
        <v>228</v>
      </c>
      <c r="C38" s="8" t="s">
        <v>253</v>
      </c>
      <c r="D38" s="8"/>
      <c r="E38" s="8"/>
      <c r="F38" s="9"/>
      <c r="G38" s="8" t="s">
        <v>64</v>
      </c>
    </row>
    <row r="39" customFormat="false" ht="15" hidden="false" customHeight="false" outlineLevel="0" collapsed="false">
      <c r="A39" s="8" t="s">
        <v>102</v>
      </c>
      <c r="B39" s="8" t="s">
        <v>188</v>
      </c>
      <c r="C39" s="8" t="s">
        <v>253</v>
      </c>
      <c r="D39" s="8"/>
      <c r="E39" s="8"/>
      <c r="F39" s="9"/>
      <c r="G39" s="8" t="s">
        <v>64</v>
      </c>
    </row>
    <row r="40" customFormat="false" ht="15" hidden="false" customHeight="false" outlineLevel="0" collapsed="false">
      <c r="A40" s="8" t="s">
        <v>119</v>
      </c>
      <c r="B40" s="8" t="s">
        <v>126</v>
      </c>
      <c r="C40" s="8" t="s">
        <v>253</v>
      </c>
      <c r="D40" s="8"/>
      <c r="E40" s="8"/>
      <c r="F40" s="9"/>
      <c r="G40" s="8" t="s">
        <v>64</v>
      </c>
    </row>
  </sheetData>
  <dataValidations count="4">
    <dataValidation allowBlank="true" error="Choisis une valeur de la liste (onglet Listes)." errorStyle="stop" errorTitle="Valeur non autorisée" operator="between" showDropDown="false" showErrorMessage="true" showInputMessage="false" sqref="C2:C1000" type="list">
      <formula1>Listes!$E$2:$E$5</formula1>
      <formula2>0</formula2>
    </dataValidation>
    <dataValidation allowBlank="true" error="Choisis une valeur de la liste (onglet Listes)." errorStyle="stop" errorTitle="Valeur non autorisée" operator="between" showDropDown="false" showErrorMessage="true" showInputMessage="false" sqref="G2:G1000" type="list">
      <formula1>Listes!$H$2:$H$3</formula1>
      <formula2>0</formula2>
    </dataValidation>
    <dataValidation allowBlank="true" errorStyle="stop" operator="between" showDropDown="false" showErrorMessage="false" showInputMessage="false" sqref="A2:A1000" type="list">
      <formula1>Courants!$A$2:$A$74</formula1>
      <formula2>0</formula2>
    </dataValidation>
    <dataValidation allowBlank="true" errorStyle="stop" operator="between" showDropDown="false" showErrorMessage="false" showInputMessage="false" sqref="B2:B1000" type="list">
      <formula1>Courants!$A$2:$A$74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7"/>
    <col collapsed="false" customWidth="true" hidden="false" outlineLevel="0" max="5" min="4" style="0" width="22"/>
    <col collapsed="false" customWidth="true" hidden="false" outlineLevel="0" max="6" min="6" style="0" width="11"/>
    <col collapsed="false" customWidth="true" hidden="false" outlineLevel="0" max="7" min="7" style="0" width="40"/>
    <col collapsed="false" customWidth="true" hidden="false" outlineLevel="0" max="8" min="8" style="0" width="50"/>
  </cols>
  <sheetData>
    <row r="1" customFormat="false" ht="30" hidden="false" customHeight="true" outlineLevel="0" collapsed="false">
      <c r="A1" s="7" t="s">
        <v>46</v>
      </c>
      <c r="B1" s="7" t="s">
        <v>47</v>
      </c>
      <c r="C1" s="7" t="s">
        <v>254</v>
      </c>
      <c r="D1" s="7" t="s">
        <v>255</v>
      </c>
      <c r="E1" s="7" t="s">
        <v>256</v>
      </c>
      <c r="F1" s="7" t="s">
        <v>257</v>
      </c>
      <c r="G1" s="7" t="s">
        <v>258</v>
      </c>
      <c r="H1" s="7" t="s">
        <v>58</v>
      </c>
    </row>
    <row r="2" customFormat="false" ht="23.85" hidden="false" customHeight="false" outlineLevel="0" collapsed="false">
      <c r="A2" s="8" t="s">
        <v>259</v>
      </c>
      <c r="B2" s="8" t="s">
        <v>260</v>
      </c>
      <c r="C2" s="8" t="n">
        <v>1</v>
      </c>
      <c r="D2" s="8" t="s">
        <v>261</v>
      </c>
      <c r="E2" s="8" t="s">
        <v>262</v>
      </c>
      <c r="F2" s="8" t="s">
        <v>71</v>
      </c>
      <c r="G2" s="8" t="s">
        <v>263</v>
      </c>
      <c r="H2" s="8" t="s">
        <v>264</v>
      </c>
    </row>
    <row r="3" customFormat="false" ht="15" hidden="false" customHeight="false" outlineLevel="0" collapsed="false">
      <c r="A3" s="8" t="s">
        <v>265</v>
      </c>
      <c r="B3" s="8" t="s">
        <v>266</v>
      </c>
      <c r="C3" s="8" t="n">
        <v>2</v>
      </c>
      <c r="D3" s="8" t="s">
        <v>267</v>
      </c>
      <c r="E3" s="8" t="s">
        <v>268</v>
      </c>
      <c r="F3" s="8" t="s">
        <v>71</v>
      </c>
      <c r="G3" s="9"/>
      <c r="H3" s="8" t="s">
        <v>269</v>
      </c>
    </row>
    <row r="4" customFormat="false" ht="15" hidden="false" customHeight="false" outlineLevel="0" collapsed="false">
      <c r="A4" s="8" t="s">
        <v>270</v>
      </c>
      <c r="B4" s="8" t="s">
        <v>271</v>
      </c>
      <c r="C4" s="8" t="n">
        <v>3</v>
      </c>
      <c r="D4" s="8" t="s">
        <v>272</v>
      </c>
      <c r="E4" s="8" t="s">
        <v>273</v>
      </c>
      <c r="F4" s="8" t="s">
        <v>71</v>
      </c>
      <c r="G4" s="9"/>
      <c r="H4" s="8" t="s">
        <v>269</v>
      </c>
    </row>
    <row r="5" customFormat="false" ht="15" hidden="false" customHeight="false" outlineLevel="0" collapsed="false">
      <c r="A5" s="8" t="s">
        <v>274</v>
      </c>
      <c r="B5" s="8" t="s">
        <v>275</v>
      </c>
      <c r="C5" s="8" t="n">
        <v>4</v>
      </c>
      <c r="D5" s="8" t="s">
        <v>276</v>
      </c>
      <c r="E5" s="8" t="s">
        <v>277</v>
      </c>
      <c r="F5" s="8" t="s">
        <v>71</v>
      </c>
      <c r="G5" s="9"/>
      <c r="H5" s="8" t="s">
        <v>269</v>
      </c>
    </row>
    <row r="6" customFormat="false" ht="15" hidden="false" customHeight="false" outlineLevel="0" collapsed="false">
      <c r="A6" s="8" t="s">
        <v>278</v>
      </c>
      <c r="B6" s="8" t="s">
        <v>279</v>
      </c>
      <c r="C6" s="8" t="n">
        <v>5</v>
      </c>
      <c r="D6" s="8" t="s">
        <v>280</v>
      </c>
      <c r="E6" s="8" t="s">
        <v>281</v>
      </c>
      <c r="F6" s="8" t="s">
        <v>71</v>
      </c>
      <c r="G6" s="9"/>
      <c r="H6" s="8" t="s">
        <v>269</v>
      </c>
    </row>
    <row r="7" customFormat="false" ht="15" hidden="false" customHeight="false" outlineLevel="0" collapsed="false">
      <c r="A7" s="8" t="s">
        <v>282</v>
      </c>
      <c r="B7" s="8" t="s">
        <v>283</v>
      </c>
      <c r="C7" s="8" t="n">
        <v>6</v>
      </c>
      <c r="D7" s="8" t="s">
        <v>284</v>
      </c>
      <c r="E7" s="8" t="s">
        <v>285</v>
      </c>
      <c r="F7" s="8" t="s">
        <v>71</v>
      </c>
      <c r="G7" s="9"/>
      <c r="H7" s="8" t="s">
        <v>269</v>
      </c>
    </row>
    <row r="8" customFormat="false" ht="15" hidden="false" customHeight="false" outlineLevel="0" collapsed="false">
      <c r="A8" s="8" t="s">
        <v>286</v>
      </c>
      <c r="B8" s="8" t="s">
        <v>287</v>
      </c>
      <c r="C8" s="8" t="n">
        <v>7</v>
      </c>
      <c r="D8" s="8" t="s">
        <v>288</v>
      </c>
      <c r="E8" s="8" t="s">
        <v>289</v>
      </c>
      <c r="F8" s="8" t="s">
        <v>71</v>
      </c>
      <c r="G8" s="9"/>
      <c r="H8" s="8" t="s">
        <v>269</v>
      </c>
    </row>
    <row r="9" customFormat="false" ht="15" hidden="false" customHeight="false" outlineLevel="0" collapsed="false">
      <c r="A9" s="8" t="s">
        <v>290</v>
      </c>
      <c r="B9" s="8" t="s">
        <v>291</v>
      </c>
      <c r="C9" s="8" t="n">
        <v>8</v>
      </c>
      <c r="D9" s="8" t="s">
        <v>292</v>
      </c>
      <c r="E9" s="8" t="s">
        <v>293</v>
      </c>
      <c r="F9" s="8" t="s">
        <v>71</v>
      </c>
      <c r="G9" s="9"/>
      <c r="H9" s="8" t="s">
        <v>269</v>
      </c>
    </row>
    <row r="10" customFormat="false" ht="15" hidden="false" customHeight="false" outlineLevel="0" collapsed="false">
      <c r="A10" s="8" t="s">
        <v>294</v>
      </c>
      <c r="B10" s="8" t="s">
        <v>295</v>
      </c>
      <c r="C10" s="8" t="n">
        <v>9</v>
      </c>
      <c r="D10" s="8" t="s">
        <v>296</v>
      </c>
      <c r="E10" s="8" t="s">
        <v>297</v>
      </c>
      <c r="F10" s="8" t="s">
        <v>71</v>
      </c>
      <c r="G10" s="9"/>
      <c r="H10" s="8" t="s">
        <v>269</v>
      </c>
    </row>
    <row r="11" customFormat="false" ht="15" hidden="false" customHeight="false" outlineLevel="0" collapsed="false">
      <c r="A11" s="8" t="s">
        <v>298</v>
      </c>
      <c r="B11" s="8" t="s">
        <v>299</v>
      </c>
      <c r="C11" s="8" t="n">
        <v>10</v>
      </c>
      <c r="D11" s="8" t="s">
        <v>300</v>
      </c>
      <c r="E11" s="8" t="s">
        <v>301</v>
      </c>
      <c r="F11" s="8" t="s">
        <v>71</v>
      </c>
      <c r="G11" s="9"/>
      <c r="H11" s="8" t="s">
        <v>269</v>
      </c>
    </row>
  </sheetData>
  <dataValidations count="1">
    <dataValidation allowBlank="true" error="Choisis une valeur de la liste (onglet Listes)." errorStyle="stop" errorTitle="Valeur non autorisée" operator="between" showDropDown="false" showErrorMessage="true" showInputMessage="false" sqref="F2:F1000" type="list">
      <formula1>Listes!$H$2:$H$3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5" min="4" style="0" width="22"/>
    <col collapsed="false" customWidth="true" hidden="false" outlineLevel="0" max="10" min="6" style="0" width="30"/>
  </cols>
  <sheetData>
    <row r="1" customFormat="false" ht="30" hidden="false" customHeight="true" outlineLevel="0" collapsed="false">
      <c r="A1" s="7" t="s">
        <v>302</v>
      </c>
      <c r="B1" s="7" t="s">
        <v>46</v>
      </c>
      <c r="C1" s="7" t="s">
        <v>303</v>
      </c>
      <c r="D1" s="7" t="s">
        <v>255</v>
      </c>
      <c r="E1" s="7" t="s">
        <v>256</v>
      </c>
      <c r="F1" s="7" t="s">
        <v>304</v>
      </c>
      <c r="G1" s="7" t="s">
        <v>305</v>
      </c>
      <c r="H1" s="7" t="s">
        <v>306</v>
      </c>
      <c r="I1" s="7" t="s">
        <v>307</v>
      </c>
      <c r="J1" s="7" t="s">
        <v>308</v>
      </c>
    </row>
    <row r="2" customFormat="false" ht="15" hidden="false" customHeight="false" outlineLevel="0" collapsed="false">
      <c r="A2" s="8" t="s">
        <v>259</v>
      </c>
      <c r="B2" s="8" t="s">
        <v>309</v>
      </c>
      <c r="C2" s="9"/>
      <c r="D2" s="9"/>
      <c r="E2" s="9"/>
      <c r="F2" s="9"/>
      <c r="G2" s="9"/>
      <c r="H2" s="9"/>
      <c r="I2" s="9"/>
      <c r="J2" s="9"/>
    </row>
    <row r="3" customFormat="false" ht="15" hidden="false" customHeight="false" outlineLevel="0" collapsed="false">
      <c r="A3" s="8" t="s">
        <v>259</v>
      </c>
      <c r="B3" s="8" t="s">
        <v>310</v>
      </c>
      <c r="C3" s="9"/>
      <c r="D3" s="9"/>
      <c r="E3" s="9"/>
      <c r="F3" s="9"/>
      <c r="G3" s="9"/>
      <c r="H3" s="9"/>
      <c r="I3" s="9"/>
      <c r="J3" s="9"/>
    </row>
    <row r="4" customFormat="false" ht="15" hidden="false" customHeight="false" outlineLevel="0" collapsed="false">
      <c r="A4" s="8" t="s">
        <v>259</v>
      </c>
      <c r="B4" s="8" t="s">
        <v>311</v>
      </c>
      <c r="C4" s="9"/>
      <c r="D4" s="9"/>
      <c r="E4" s="9"/>
      <c r="F4" s="9"/>
      <c r="G4" s="9"/>
      <c r="H4" s="9"/>
      <c r="I4" s="9"/>
      <c r="J4" s="9"/>
    </row>
    <row r="5" customFormat="false" ht="15" hidden="false" customHeight="false" outlineLevel="0" collapsed="false">
      <c r="A5" s="8" t="s">
        <v>259</v>
      </c>
      <c r="B5" s="8" t="s">
        <v>312</v>
      </c>
      <c r="C5" s="9"/>
      <c r="D5" s="9"/>
      <c r="E5" s="9"/>
      <c r="F5" s="9"/>
      <c r="G5" s="9"/>
      <c r="H5" s="9"/>
      <c r="I5" s="9"/>
      <c r="J5" s="9"/>
    </row>
    <row r="6" customFormat="false" ht="15" hidden="false" customHeight="false" outlineLevel="0" collapsed="false">
      <c r="A6" s="8" t="s">
        <v>259</v>
      </c>
      <c r="B6" s="8" t="s">
        <v>313</v>
      </c>
      <c r="C6" s="9"/>
      <c r="D6" s="9"/>
      <c r="E6" s="9"/>
      <c r="F6" s="9"/>
      <c r="G6" s="9"/>
      <c r="H6" s="9"/>
      <c r="I6" s="9"/>
      <c r="J6" s="9"/>
    </row>
    <row r="7" customFormat="false" ht="15" hidden="false" customHeight="false" outlineLevel="0" collapsed="false">
      <c r="A7" s="8" t="s">
        <v>259</v>
      </c>
      <c r="B7" s="8" t="s">
        <v>314</v>
      </c>
      <c r="C7" s="9"/>
      <c r="D7" s="9"/>
      <c r="E7" s="9"/>
      <c r="F7" s="9"/>
      <c r="G7" s="9"/>
      <c r="H7" s="9"/>
      <c r="I7" s="9"/>
      <c r="J7" s="9"/>
    </row>
    <row r="8" customFormat="false" ht="15" hidden="false" customHeight="false" outlineLevel="0" collapsed="false">
      <c r="A8" s="8" t="s">
        <v>259</v>
      </c>
      <c r="B8" s="8" t="s">
        <v>315</v>
      </c>
      <c r="C8" s="9"/>
      <c r="D8" s="9"/>
      <c r="E8" s="9"/>
      <c r="F8" s="9"/>
      <c r="G8" s="9"/>
      <c r="H8" s="9"/>
      <c r="I8" s="9"/>
      <c r="J8" s="9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  <c r="I9" s="9"/>
      <c r="J9" s="9"/>
    </row>
    <row r="10" customFormat="false" ht="15" hidden="false" customHeight="false" outlineLevel="0" collapsed="false">
      <c r="A10" s="9"/>
      <c r="B10" s="9"/>
      <c r="C10" s="9"/>
      <c r="D10" s="9"/>
      <c r="E10" s="9"/>
      <c r="F10" s="9"/>
      <c r="G10" s="9"/>
      <c r="H10" s="9"/>
      <c r="I10" s="9"/>
      <c r="J10" s="9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  <c r="I11" s="9"/>
      <c r="J11" s="9"/>
    </row>
    <row r="12" customFormat="false" ht="15" hidden="false" customHeight="false" outlineLevel="0" collapsed="false">
      <c r="A12" s="9"/>
      <c r="B12" s="9"/>
      <c r="C12" s="9"/>
      <c r="D12" s="9"/>
      <c r="E12" s="9"/>
      <c r="F12" s="9"/>
      <c r="G12" s="9"/>
      <c r="H12" s="9"/>
      <c r="I12" s="9"/>
      <c r="J12" s="9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  <c r="I13" s="9"/>
      <c r="J13" s="9"/>
    </row>
    <row r="14" customFormat="false" ht="15" hidden="false" customHeight="false" outlineLevel="0" collapsed="false">
      <c r="A14" s="9"/>
      <c r="B14" s="9"/>
      <c r="C14" s="9"/>
      <c r="D14" s="9"/>
      <c r="E14" s="9"/>
      <c r="F14" s="9"/>
      <c r="G14" s="9"/>
      <c r="H14" s="9"/>
      <c r="I14" s="9"/>
      <c r="J14" s="9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  <c r="I15" s="9"/>
      <c r="J15" s="9"/>
    </row>
    <row r="16" customFormat="false" ht="15" hidden="false" customHeight="false" outlineLevel="0" collapsed="false">
      <c r="A16" s="9"/>
      <c r="B16" s="9"/>
      <c r="C16" s="9"/>
      <c r="D16" s="9"/>
      <c r="E16" s="9"/>
      <c r="F16" s="9"/>
      <c r="G16" s="9"/>
      <c r="H16" s="9"/>
      <c r="I16" s="9"/>
      <c r="J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</row>
    <row r="18" customFormat="false" ht="15" hidden="false" customHeight="false" outlineLevel="0" collapsed="false">
      <c r="A18" s="9"/>
      <c r="B18" s="9"/>
      <c r="C18" s="9"/>
      <c r="D18" s="9"/>
      <c r="E18" s="9"/>
      <c r="F18" s="9"/>
      <c r="G18" s="9"/>
      <c r="H18" s="9"/>
      <c r="I18" s="9"/>
      <c r="J18" s="9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  <c r="I19" s="9"/>
      <c r="J19" s="9"/>
    </row>
    <row r="20" customFormat="false" ht="15" hidden="false" customHeight="false" outlineLevel="0" collapsed="false">
      <c r="A20" s="9"/>
      <c r="B20" s="9"/>
      <c r="C20" s="9"/>
      <c r="D20" s="9"/>
      <c r="E20" s="9"/>
      <c r="F20" s="9"/>
      <c r="G20" s="9"/>
      <c r="H20" s="9"/>
      <c r="I20" s="9"/>
      <c r="J20" s="9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  <c r="I21" s="9"/>
      <c r="J21" s="9"/>
    </row>
    <row r="22" customFormat="false" ht="15" hidden="false" customHeight="false" outlineLevel="0" collapsed="false">
      <c r="A22" s="9"/>
      <c r="B22" s="9"/>
      <c r="C22" s="9"/>
      <c r="D22" s="9"/>
      <c r="E22" s="9"/>
      <c r="F22" s="9"/>
      <c r="G22" s="9"/>
      <c r="H22" s="9"/>
      <c r="I22" s="9"/>
      <c r="J22" s="9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  <c r="I23" s="9"/>
      <c r="J23" s="9"/>
    </row>
    <row r="24" customFormat="false" ht="15" hidden="false" customHeight="false" outlineLevel="0" collapsed="false">
      <c r="A24" s="9"/>
      <c r="B24" s="9"/>
      <c r="C24" s="9"/>
      <c r="D24" s="9"/>
      <c r="E24" s="9"/>
      <c r="F24" s="9"/>
      <c r="G24" s="9"/>
      <c r="H24" s="9"/>
      <c r="I24" s="9"/>
      <c r="J24" s="9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  <c r="I25" s="9"/>
      <c r="J25" s="9"/>
    </row>
    <row r="26" customFormat="false" ht="15" hidden="false" customHeight="false" outlineLevel="0" collapsed="false">
      <c r="A26" s="9"/>
      <c r="B26" s="9"/>
      <c r="C26" s="9"/>
      <c r="D26" s="9"/>
      <c r="E26" s="9"/>
      <c r="F26" s="9"/>
      <c r="G26" s="9"/>
      <c r="H26" s="9"/>
      <c r="I26" s="9"/>
      <c r="J26" s="9"/>
    </row>
    <row r="27" customFormat="false" ht="15" hidden="false" customHeight="false" outlineLevel="0" collapsed="false">
      <c r="A27" s="9"/>
      <c r="B27" s="9"/>
      <c r="C27" s="9"/>
      <c r="D27" s="9"/>
      <c r="E27" s="9"/>
      <c r="F27" s="9"/>
      <c r="G27" s="9"/>
      <c r="H27" s="9"/>
      <c r="I27" s="9"/>
      <c r="J27" s="9"/>
    </row>
    <row r="28" customFormat="false" ht="15" hidden="false" customHeight="false" outlineLevel="0" collapsed="false">
      <c r="A28" s="9"/>
      <c r="B28" s="9"/>
      <c r="C28" s="9"/>
      <c r="D28" s="9"/>
      <c r="E28" s="9"/>
      <c r="F28" s="9"/>
      <c r="G28" s="9"/>
      <c r="H28" s="9"/>
      <c r="I28" s="9"/>
      <c r="J28" s="9"/>
    </row>
    <row r="29" customFormat="false" ht="15" hidden="false" customHeight="false" outlineLevel="0" collapsed="false">
      <c r="A29" s="9"/>
      <c r="B29" s="9"/>
      <c r="C29" s="9"/>
      <c r="D29" s="9"/>
      <c r="E29" s="9"/>
      <c r="F29" s="9"/>
      <c r="G29" s="9"/>
      <c r="H29" s="9"/>
      <c r="I29" s="9"/>
      <c r="J29" s="9"/>
    </row>
    <row r="30" customFormat="false" ht="15" hidden="false" customHeight="false" outlineLevel="0" collapsed="false">
      <c r="A30" s="9"/>
      <c r="B30" s="9"/>
      <c r="C30" s="9"/>
      <c r="D30" s="9"/>
      <c r="E30" s="9"/>
      <c r="F30" s="9"/>
      <c r="G30" s="9"/>
      <c r="H30" s="9"/>
      <c r="I30" s="9"/>
      <c r="J30" s="9"/>
    </row>
    <row r="31" customFormat="false" ht="15" hidden="false" customHeight="false" outlineLevel="0" collapsed="false">
      <c r="A31" s="9"/>
      <c r="B31" s="9"/>
      <c r="C31" s="9"/>
      <c r="D31" s="9"/>
      <c r="E31" s="9"/>
      <c r="F31" s="9"/>
      <c r="G31" s="9"/>
      <c r="H31" s="9"/>
      <c r="I31" s="9"/>
      <c r="J31" s="9"/>
    </row>
    <row r="32" customFormat="false" ht="15" hidden="false" customHeight="false" outlineLevel="0" collapsed="false">
      <c r="A32" s="9"/>
      <c r="B32" s="9"/>
      <c r="C32" s="9"/>
      <c r="D32" s="9"/>
      <c r="E32" s="9"/>
      <c r="F32" s="9"/>
      <c r="G32" s="9"/>
      <c r="H32" s="9"/>
      <c r="I32" s="9"/>
      <c r="J32" s="9"/>
    </row>
    <row r="33" customFormat="false" ht="15" hidden="false" customHeight="false" outlineLevel="0" collapsed="false">
      <c r="A33" s="9"/>
      <c r="B33" s="9"/>
      <c r="C33" s="9"/>
      <c r="D33" s="9"/>
      <c r="E33" s="9"/>
      <c r="F33" s="9"/>
      <c r="G33" s="9"/>
      <c r="H33" s="9"/>
      <c r="I33" s="9"/>
      <c r="J33" s="9"/>
    </row>
    <row r="34" customFormat="false" ht="15" hidden="false" customHeight="false" outlineLevel="0" collapsed="false">
      <c r="A34" s="9"/>
      <c r="B34" s="9"/>
      <c r="C34" s="9"/>
      <c r="D34" s="9"/>
      <c r="E34" s="9"/>
      <c r="F34" s="9"/>
      <c r="G34" s="9"/>
      <c r="H34" s="9"/>
      <c r="I34" s="9"/>
      <c r="J34" s="9"/>
    </row>
    <row r="35" customFormat="false" ht="15" hidden="false" customHeight="false" outlineLevel="0" collapsed="false">
      <c r="A35" s="9"/>
      <c r="B35" s="9"/>
      <c r="C35" s="9"/>
      <c r="D35" s="9"/>
      <c r="E35" s="9"/>
      <c r="F35" s="9"/>
      <c r="G35" s="9"/>
      <c r="H35" s="9"/>
      <c r="I35" s="9"/>
      <c r="J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</row>
    <row r="38" customFormat="false" ht="15" hidden="false" customHeight="false" outlineLevel="0" collapsed="false">
      <c r="A38" s="9"/>
      <c r="B38" s="9"/>
      <c r="C38" s="9"/>
      <c r="D38" s="9"/>
      <c r="E38" s="9"/>
      <c r="F38" s="9"/>
      <c r="G38" s="9"/>
      <c r="H38" s="9"/>
      <c r="I38" s="9"/>
      <c r="J38" s="9"/>
    </row>
    <row r="39" customFormat="false" ht="15" hidden="false" customHeight="false" outlineLevel="0" collapsed="false">
      <c r="A39" s="9"/>
      <c r="B39" s="9"/>
      <c r="C39" s="9"/>
      <c r="D39" s="9"/>
      <c r="E39" s="9"/>
      <c r="F39" s="9"/>
      <c r="G39" s="9"/>
      <c r="H39" s="9"/>
      <c r="I39" s="9"/>
      <c r="J39" s="9"/>
    </row>
    <row r="40" customFormat="false" ht="15" hidden="false" customHeight="false" outlineLevel="0" collapsed="false">
      <c r="A40" s="9"/>
      <c r="B40" s="9"/>
      <c r="C40" s="9"/>
      <c r="D40" s="9"/>
      <c r="E40" s="9"/>
      <c r="F40" s="9"/>
      <c r="G40" s="9"/>
      <c r="H40" s="9"/>
      <c r="I40" s="9"/>
      <c r="J40" s="9"/>
    </row>
    <row r="41" customFormat="false" ht="15" hidden="false" customHeight="false" outlineLevel="0" collapsed="false">
      <c r="A41" s="9"/>
      <c r="B41" s="9"/>
      <c r="C41" s="9"/>
      <c r="D41" s="9"/>
      <c r="E41" s="9"/>
      <c r="F41" s="9"/>
      <c r="G41" s="9"/>
      <c r="H41" s="9"/>
      <c r="I41" s="9"/>
      <c r="J41" s="9"/>
    </row>
    <row r="42" customFormat="false" ht="15" hidden="false" customHeight="false" outlineLevel="0" collapsed="false">
      <c r="A42" s="9"/>
      <c r="B42" s="9"/>
      <c r="C42" s="9"/>
      <c r="D42" s="9"/>
      <c r="E42" s="9"/>
      <c r="F42" s="9"/>
      <c r="G42" s="9"/>
      <c r="H42" s="9"/>
      <c r="I42" s="9"/>
      <c r="J42" s="9"/>
    </row>
    <row r="43" customFormat="false" ht="15" hidden="false" customHeight="false" outlineLevel="0" collapsed="false">
      <c r="A43" s="9"/>
      <c r="B43" s="9"/>
      <c r="C43" s="9"/>
      <c r="D43" s="9"/>
      <c r="E43" s="9"/>
      <c r="F43" s="9"/>
      <c r="G43" s="9"/>
      <c r="H43" s="9"/>
      <c r="I43" s="9"/>
      <c r="J43" s="9"/>
    </row>
    <row r="44" customFormat="false" ht="15" hidden="false" customHeight="false" outlineLevel="0" collapsed="false">
      <c r="A44" s="9"/>
      <c r="B44" s="9"/>
      <c r="C44" s="9"/>
      <c r="D44" s="9"/>
      <c r="E44" s="9"/>
      <c r="F44" s="9"/>
      <c r="G44" s="9"/>
      <c r="H44" s="9"/>
      <c r="I44" s="9"/>
      <c r="J44" s="9"/>
    </row>
    <row r="45" customFormat="false" ht="15" hidden="false" customHeight="false" outlineLevel="0" collapsed="false">
      <c r="A45" s="9"/>
      <c r="B45" s="9"/>
      <c r="C45" s="9"/>
      <c r="D45" s="9"/>
      <c r="E45" s="9"/>
      <c r="F45" s="9"/>
      <c r="G45" s="9"/>
      <c r="H45" s="9"/>
      <c r="I45" s="9"/>
      <c r="J45" s="9"/>
    </row>
    <row r="46" customFormat="false" ht="15" hidden="false" customHeight="false" outlineLevel="0" collapsed="false">
      <c r="A46" s="9"/>
      <c r="B46" s="9"/>
      <c r="C46" s="9"/>
      <c r="D46" s="9"/>
      <c r="E46" s="9"/>
      <c r="F46" s="9"/>
      <c r="G46" s="9"/>
      <c r="H46" s="9"/>
      <c r="I46" s="9"/>
      <c r="J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</row>
    <row r="49" customFormat="false" ht="15" hidden="false" customHeight="false" outlineLevel="0" collapsed="false">
      <c r="A49" s="9"/>
      <c r="B49" s="9"/>
      <c r="C49" s="9"/>
      <c r="D49" s="9"/>
      <c r="E49" s="9"/>
      <c r="F49" s="9"/>
      <c r="G49" s="9"/>
      <c r="H49" s="9"/>
      <c r="I49" s="9"/>
      <c r="J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  <c r="I50" s="9"/>
      <c r="J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  <c r="I51" s="9"/>
      <c r="J51" s="9"/>
    </row>
    <row r="52" customFormat="false" ht="15" hidden="false" customHeight="false" outlineLevel="0" collapsed="false">
      <c r="A52" s="9"/>
      <c r="B52" s="9"/>
      <c r="C52" s="9"/>
      <c r="D52" s="9"/>
      <c r="E52" s="9"/>
      <c r="F52" s="9"/>
      <c r="G52" s="9"/>
      <c r="H52" s="9"/>
      <c r="I52" s="9"/>
      <c r="J52" s="9"/>
    </row>
    <row r="53" customFormat="false" ht="15" hidden="false" customHeight="false" outlineLevel="0" collapsed="false">
      <c r="A53" s="9"/>
      <c r="B53" s="9"/>
      <c r="C53" s="9"/>
      <c r="D53" s="9"/>
      <c r="E53" s="9"/>
      <c r="F53" s="9"/>
      <c r="G53" s="9"/>
      <c r="H53" s="9"/>
      <c r="I53" s="9"/>
      <c r="J53" s="9"/>
    </row>
    <row r="54" customFormat="false" ht="15" hidden="false" customHeight="false" outlineLevel="0" collapsed="false">
      <c r="A54" s="9"/>
      <c r="B54" s="9"/>
      <c r="C54" s="9"/>
      <c r="D54" s="9"/>
      <c r="E54" s="9"/>
      <c r="F54" s="9"/>
      <c r="G54" s="9"/>
      <c r="H54" s="9"/>
      <c r="I54" s="9"/>
      <c r="J54" s="9"/>
    </row>
    <row r="55" customFormat="false" ht="15" hidden="false" customHeight="false" outlineLevel="0" collapsed="false">
      <c r="A55" s="9"/>
      <c r="B55" s="9"/>
      <c r="C55" s="9"/>
      <c r="D55" s="9"/>
      <c r="E55" s="9"/>
      <c r="F55" s="9"/>
      <c r="G55" s="9"/>
      <c r="H55" s="9"/>
      <c r="I55" s="9"/>
      <c r="J55" s="9"/>
    </row>
    <row r="56" customFormat="false" ht="15" hidden="false" customHeight="false" outlineLevel="0" collapsed="false">
      <c r="A56" s="9"/>
      <c r="B56" s="9"/>
      <c r="C56" s="9"/>
      <c r="D56" s="9"/>
      <c r="E56" s="9"/>
      <c r="F56" s="9"/>
      <c r="G56" s="9"/>
      <c r="H56" s="9"/>
      <c r="I56" s="9"/>
      <c r="J56" s="9"/>
    </row>
    <row r="57" customFormat="false" ht="15" hidden="false" customHeight="false" outlineLevel="0" collapsed="false">
      <c r="A57" s="9"/>
      <c r="B57" s="9"/>
      <c r="C57" s="9"/>
      <c r="D57" s="9"/>
      <c r="E57" s="9"/>
      <c r="F57" s="9"/>
      <c r="G57" s="9"/>
      <c r="H57" s="9"/>
      <c r="I57" s="9"/>
      <c r="J57" s="9"/>
    </row>
    <row r="58" customFormat="false" ht="15" hidden="false" customHeight="false" outlineLevel="0" collapsed="false">
      <c r="A58" s="9"/>
      <c r="B58" s="9"/>
      <c r="C58" s="9"/>
      <c r="D58" s="9"/>
      <c r="E58" s="9"/>
      <c r="F58" s="9"/>
      <c r="G58" s="9"/>
      <c r="H58" s="9"/>
      <c r="I58" s="9"/>
      <c r="J58" s="9"/>
    </row>
    <row r="59" customFormat="false" ht="15" hidden="false" customHeight="false" outlineLevel="0" collapsed="false">
      <c r="A59" s="9"/>
      <c r="B59" s="9"/>
      <c r="C59" s="9"/>
      <c r="D59" s="9"/>
      <c r="E59" s="9"/>
      <c r="F59" s="9"/>
      <c r="G59" s="9"/>
      <c r="H59" s="9"/>
      <c r="I59" s="9"/>
      <c r="J59" s="9"/>
    </row>
    <row r="60" customFormat="false" ht="15" hidden="false" customHeight="false" outlineLevel="0" collapsed="false">
      <c r="A60" s="9"/>
      <c r="B60" s="9"/>
      <c r="C60" s="9"/>
      <c r="D60" s="9"/>
      <c r="E60" s="9"/>
      <c r="F60" s="9"/>
      <c r="G60" s="9"/>
      <c r="H60" s="9"/>
      <c r="I60" s="9"/>
      <c r="J60" s="9"/>
    </row>
    <row r="61" customFormat="false" ht="15" hidden="false" customHeight="false" outlineLevel="0" collapsed="false">
      <c r="A61" s="9"/>
      <c r="B61" s="9"/>
      <c r="C61" s="9"/>
      <c r="D61" s="9"/>
      <c r="E61" s="9"/>
      <c r="F61" s="9"/>
      <c r="G61" s="9"/>
      <c r="H61" s="9"/>
      <c r="I61" s="9"/>
      <c r="J61" s="9"/>
    </row>
    <row r="62" customFormat="false" ht="15" hidden="false" customHeight="false" outlineLevel="0" collapsed="false">
      <c r="A62" s="9"/>
      <c r="B62" s="9"/>
      <c r="C62" s="9"/>
      <c r="D62" s="9"/>
      <c r="E62" s="9"/>
      <c r="F62" s="9"/>
      <c r="G62" s="9"/>
      <c r="H62" s="9"/>
      <c r="I62" s="9"/>
      <c r="J62" s="9"/>
    </row>
    <row r="63" customFormat="false" ht="15" hidden="false" customHeight="false" outlineLevel="0" collapsed="false">
      <c r="A63" s="9"/>
      <c r="B63" s="9"/>
      <c r="C63" s="9"/>
      <c r="D63" s="9"/>
      <c r="E63" s="9"/>
      <c r="F63" s="9"/>
      <c r="G63" s="9"/>
      <c r="H63" s="9"/>
      <c r="I63" s="9"/>
      <c r="J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</row>
    <row r="65" customFormat="false" ht="15" hidden="false" customHeight="false" outlineLevel="0" collapsed="false">
      <c r="A65" s="9"/>
      <c r="B65" s="9"/>
      <c r="C65" s="9"/>
      <c r="D65" s="9"/>
      <c r="E65" s="9"/>
      <c r="F65" s="9"/>
      <c r="G65" s="9"/>
      <c r="H65" s="9"/>
      <c r="I65" s="9"/>
      <c r="J65" s="9"/>
    </row>
    <row r="66" customFormat="false" ht="15" hidden="false" customHeight="false" outlineLevel="0" collapsed="false">
      <c r="A66" s="9"/>
      <c r="B66" s="9"/>
      <c r="C66" s="9"/>
      <c r="D66" s="9"/>
      <c r="E66" s="9"/>
      <c r="F66" s="9"/>
      <c r="G66" s="9"/>
      <c r="H66" s="9"/>
      <c r="I66" s="9"/>
      <c r="J66" s="9"/>
    </row>
    <row r="67" customFormat="false" ht="15" hidden="false" customHeight="false" outlineLevel="0" collapsed="false">
      <c r="A67" s="9"/>
      <c r="B67" s="9"/>
      <c r="C67" s="9"/>
      <c r="D67" s="9"/>
      <c r="E67" s="9"/>
      <c r="F67" s="9"/>
      <c r="G67" s="9"/>
      <c r="H67" s="9"/>
      <c r="I67" s="9"/>
      <c r="J67" s="9"/>
    </row>
    <row r="68" customFormat="false" ht="15" hidden="false" customHeight="false" outlineLevel="0" collapsed="false">
      <c r="A68" s="9"/>
      <c r="B68" s="9"/>
      <c r="C68" s="9"/>
      <c r="D68" s="9"/>
      <c r="E68" s="9"/>
      <c r="F68" s="9"/>
      <c r="G68" s="9"/>
      <c r="H68" s="9"/>
      <c r="I68" s="9"/>
      <c r="J68" s="9"/>
    </row>
    <row r="69" customFormat="false" ht="15" hidden="false" customHeight="false" outlineLevel="0" collapsed="false">
      <c r="A69" s="9"/>
      <c r="B69" s="9"/>
      <c r="C69" s="9"/>
      <c r="D69" s="9"/>
      <c r="E69" s="9"/>
      <c r="F69" s="9"/>
      <c r="G69" s="9"/>
      <c r="H69" s="9"/>
      <c r="I69" s="9"/>
      <c r="J69" s="9"/>
    </row>
    <row r="70" customFormat="false" ht="15" hidden="false" customHeight="false" outlineLevel="0" collapsed="false">
      <c r="A70" s="9"/>
      <c r="B70" s="9"/>
      <c r="C70" s="9"/>
      <c r="D70" s="9"/>
      <c r="E70" s="9"/>
      <c r="F70" s="9"/>
      <c r="G70" s="9"/>
      <c r="H70" s="9"/>
      <c r="I70" s="9"/>
      <c r="J70" s="9"/>
    </row>
    <row r="71" customFormat="false" ht="15" hidden="false" customHeight="false" outlineLevel="0" collapsed="false">
      <c r="A71" s="9"/>
      <c r="B71" s="9"/>
      <c r="C71" s="9"/>
      <c r="D71" s="9"/>
      <c r="E71" s="9"/>
      <c r="F71" s="9"/>
      <c r="G71" s="9"/>
      <c r="H71" s="9"/>
      <c r="I71" s="9"/>
      <c r="J71" s="9"/>
    </row>
    <row r="72" customFormat="false" ht="15" hidden="false" customHeight="false" outlineLevel="0" collapsed="false">
      <c r="A72" s="9"/>
      <c r="B72" s="9"/>
      <c r="C72" s="9"/>
      <c r="D72" s="9"/>
      <c r="E72" s="9"/>
      <c r="F72" s="9"/>
      <c r="G72" s="9"/>
      <c r="H72" s="9"/>
      <c r="I72" s="9"/>
      <c r="J72" s="9"/>
    </row>
    <row r="73" customFormat="false" ht="15" hidden="false" customHeight="false" outlineLevel="0" collapsed="false">
      <c r="A73" s="9"/>
      <c r="B73" s="9"/>
      <c r="C73" s="9"/>
      <c r="D73" s="9"/>
      <c r="E73" s="9"/>
      <c r="F73" s="9"/>
      <c r="G73" s="9"/>
      <c r="H73" s="9"/>
      <c r="I73" s="9"/>
      <c r="J73" s="9"/>
    </row>
    <row r="74" customFormat="false" ht="15" hidden="false" customHeight="false" outlineLevel="0" collapsed="false">
      <c r="A74" s="9"/>
      <c r="B74" s="9"/>
      <c r="C74" s="9"/>
      <c r="D74" s="9"/>
      <c r="E74" s="9"/>
      <c r="F74" s="9"/>
      <c r="G74" s="9"/>
      <c r="H74" s="9"/>
      <c r="I74" s="9"/>
      <c r="J74" s="9"/>
    </row>
    <row r="75" customFormat="false" ht="15" hidden="false" customHeight="false" outlineLevel="0" collapsed="false">
      <c r="A75" s="9"/>
      <c r="B75" s="9"/>
      <c r="C75" s="9"/>
      <c r="D75" s="9"/>
      <c r="E75" s="9"/>
      <c r="F75" s="9"/>
      <c r="G75" s="9"/>
      <c r="H75" s="9"/>
      <c r="I75" s="9"/>
      <c r="J75" s="9"/>
    </row>
    <row r="76" customFormat="false" ht="15" hidden="false" customHeight="false" outlineLevel="0" collapsed="false">
      <c r="A76" s="9"/>
      <c r="B76" s="9"/>
      <c r="C76" s="9"/>
      <c r="D76" s="9"/>
      <c r="E76" s="9"/>
      <c r="F76" s="9"/>
      <c r="G76" s="9"/>
      <c r="H76" s="9"/>
      <c r="I76" s="9"/>
      <c r="J76" s="9"/>
    </row>
    <row r="77" customFormat="false" ht="15" hidden="false" customHeight="false" outlineLevel="0" collapsed="false">
      <c r="A77" s="9"/>
      <c r="B77" s="9"/>
      <c r="C77" s="9"/>
      <c r="D77" s="9"/>
      <c r="E77" s="9"/>
      <c r="F77" s="9"/>
      <c r="G77" s="9"/>
      <c r="H77" s="9"/>
      <c r="I77" s="9"/>
      <c r="J77" s="9"/>
    </row>
    <row r="78" customFormat="false" ht="15" hidden="false" customHeight="false" outlineLevel="0" collapsed="false">
      <c r="A78" s="9"/>
      <c r="B78" s="9"/>
      <c r="C78" s="9"/>
      <c r="D78" s="9"/>
      <c r="E78" s="9"/>
      <c r="F78" s="9"/>
      <c r="G78" s="9"/>
      <c r="H78" s="9"/>
      <c r="I78" s="9"/>
      <c r="J78" s="9"/>
    </row>
    <row r="79" customFormat="false" ht="15" hidden="false" customHeight="false" outlineLevel="0" collapsed="false">
      <c r="A79" s="9"/>
      <c r="B79" s="9"/>
      <c r="C79" s="9"/>
      <c r="D79" s="9"/>
      <c r="E79" s="9"/>
      <c r="F79" s="9"/>
      <c r="G79" s="9"/>
      <c r="H79" s="9"/>
      <c r="I79" s="9"/>
      <c r="J79" s="9"/>
    </row>
  </sheetData>
  <dataValidations count="1">
    <dataValidation allowBlank="true" errorStyle="stop" operator="between" showDropDown="false" showErrorMessage="false" showInputMessage="false" sqref="A2:A1000" type="list">
      <formula1>Thematiques!$A$2:$A$11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8"/>
    <col collapsed="false" customWidth="true" hidden="false" outlineLevel="0" max="7" min="6" style="0" width="7"/>
    <col collapsed="false" customWidth="true" hidden="false" outlineLevel="0" max="8" min="8" style="0" width="9"/>
    <col collapsed="false" customWidth="true" hidden="false" outlineLevel="0" max="9" min="9" style="0" width="60"/>
    <col collapsed="false" customWidth="true" hidden="false" outlineLevel="0" max="10" min="10" style="0" width="40"/>
    <col collapsed="false" customWidth="true" hidden="false" outlineLevel="0" max="11" min="11" style="0" width="16"/>
  </cols>
  <sheetData>
    <row r="1" customFormat="false" ht="30" hidden="false" customHeight="true" outlineLevel="0" collapsed="false">
      <c r="A1" s="7" t="s">
        <v>238</v>
      </c>
      <c r="B1" s="7" t="s">
        <v>316</v>
      </c>
      <c r="C1" s="7" t="s">
        <v>302</v>
      </c>
      <c r="D1" s="7" t="s">
        <v>317</v>
      </c>
      <c r="E1" s="7" t="s">
        <v>318</v>
      </c>
      <c r="F1" s="7" t="s">
        <v>319</v>
      </c>
      <c r="G1" s="7" t="s">
        <v>320</v>
      </c>
      <c r="H1" s="7" t="s">
        <v>321</v>
      </c>
      <c r="I1" s="7" t="s">
        <v>322</v>
      </c>
      <c r="J1" s="7" t="s">
        <v>60</v>
      </c>
      <c r="K1" s="7" t="s">
        <v>323</v>
      </c>
    </row>
    <row r="2" customFormat="false" ht="15" hidden="false" customHeight="false" outlineLevel="0" collapsed="false">
      <c r="A2" s="8" t="s">
        <v>126</v>
      </c>
      <c r="B2" s="8" t="s">
        <v>309</v>
      </c>
      <c r="C2" s="10" t="str">
        <f aca="false">IFERROR(INDEX(Criteres!$A$2:$A$1000,MATCH(B2,Criteres!$B$2:$B$1000,0)),"")</f>
        <v>economie</v>
      </c>
      <c r="D2" s="8" t="s">
        <v>324</v>
      </c>
      <c r="E2" s="9"/>
      <c r="F2" s="9"/>
      <c r="G2" s="9"/>
      <c r="H2" s="9"/>
      <c r="I2" s="9"/>
      <c r="J2" s="9"/>
      <c r="K2" s="10" t="str">
        <f aca="false">IF(A2="","",IF(E2="","à noter",IF(OR(E2&lt;0,E2&gt;10),"hors échelle",IF(AND(F2&lt;&gt;"",F2&gt;E2),"min &gt; valeur",IF(AND(G2&lt;&gt;"",G2&lt;E2),"max &lt; valeur",IF(J2="","sans source","ok"))))))</f>
        <v>à noter</v>
      </c>
    </row>
    <row r="3" customFormat="false" ht="15" hidden="false" customHeight="false" outlineLevel="0" collapsed="false">
      <c r="A3" s="8" t="s">
        <v>126</v>
      </c>
      <c r="B3" s="8" t="s">
        <v>310</v>
      </c>
      <c r="C3" s="10" t="str">
        <f aca="false">IFERROR(INDEX(Criteres!$A$2:$A$1000,MATCH(B3,Criteres!$B$2:$B$1000,0)),"")</f>
        <v>economie</v>
      </c>
      <c r="D3" s="8" t="s">
        <v>324</v>
      </c>
      <c r="E3" s="9"/>
      <c r="F3" s="9"/>
      <c r="G3" s="9"/>
      <c r="H3" s="9"/>
      <c r="I3" s="9"/>
      <c r="J3" s="9"/>
      <c r="K3" s="10" t="str">
        <f aca="false">IF(A3="","",IF(E3="","à noter",IF(OR(E3&lt;0,E3&gt;10),"hors échelle",IF(AND(F3&lt;&gt;"",F3&gt;E3),"min &gt; valeur",IF(AND(G3&lt;&gt;"",G3&lt;E3),"max &lt; valeur",IF(J3="","sans source","ok"))))))</f>
        <v>à noter</v>
      </c>
    </row>
    <row r="4" customFormat="false" ht="15" hidden="false" customHeight="false" outlineLevel="0" collapsed="false">
      <c r="A4" s="8" t="s">
        <v>126</v>
      </c>
      <c r="B4" s="8" t="s">
        <v>311</v>
      </c>
      <c r="C4" s="10" t="str">
        <f aca="false">IFERROR(INDEX(Criteres!$A$2:$A$1000,MATCH(B4,Criteres!$B$2:$B$1000,0)),"")</f>
        <v>economie</v>
      </c>
      <c r="D4" s="8" t="s">
        <v>324</v>
      </c>
      <c r="E4" s="9"/>
      <c r="F4" s="9"/>
      <c r="G4" s="9"/>
      <c r="H4" s="9"/>
      <c r="I4" s="9"/>
      <c r="J4" s="9"/>
      <c r="K4" s="10" t="str">
        <f aca="false">IF(A4="","",IF(E4="","à noter",IF(OR(E4&lt;0,E4&gt;10),"hors échelle",IF(AND(F4&lt;&gt;"",F4&gt;E4),"min &gt; valeur",IF(AND(G4&lt;&gt;"",G4&lt;E4),"max &lt; valeur",IF(J4="","sans source","ok"))))))</f>
        <v>à noter</v>
      </c>
    </row>
    <row r="5" customFormat="false" ht="15" hidden="false" customHeight="false" outlineLevel="0" collapsed="false">
      <c r="A5" s="8" t="s">
        <v>126</v>
      </c>
      <c r="B5" s="8" t="s">
        <v>312</v>
      </c>
      <c r="C5" s="10" t="str">
        <f aca="false">IFERROR(INDEX(Criteres!$A$2:$A$1000,MATCH(B5,Criteres!$B$2:$B$1000,0)),"")</f>
        <v>economie</v>
      </c>
      <c r="D5" s="8" t="s">
        <v>324</v>
      </c>
      <c r="E5" s="9"/>
      <c r="F5" s="9"/>
      <c r="G5" s="9"/>
      <c r="H5" s="9"/>
      <c r="I5" s="9"/>
      <c r="J5" s="9"/>
      <c r="K5" s="10" t="str">
        <f aca="false">IF(A5="","",IF(E5="","à noter",IF(OR(E5&lt;0,E5&gt;10),"hors échelle",IF(AND(F5&lt;&gt;"",F5&gt;E5),"min &gt; valeur",IF(AND(G5&lt;&gt;"",G5&lt;E5),"max &lt; valeur",IF(J5="","sans source","ok"))))))</f>
        <v>à noter</v>
      </c>
    </row>
    <row r="6" customFormat="false" ht="15" hidden="false" customHeight="false" outlineLevel="0" collapsed="false">
      <c r="A6" s="8" t="s">
        <v>126</v>
      </c>
      <c r="B6" s="8" t="s">
        <v>313</v>
      </c>
      <c r="C6" s="10" t="str">
        <f aca="false">IFERROR(INDEX(Criteres!$A$2:$A$1000,MATCH(B6,Criteres!$B$2:$B$1000,0)),"")</f>
        <v>economie</v>
      </c>
      <c r="D6" s="8" t="s">
        <v>324</v>
      </c>
      <c r="E6" s="9"/>
      <c r="F6" s="9"/>
      <c r="G6" s="9"/>
      <c r="H6" s="9"/>
      <c r="I6" s="9"/>
      <c r="J6" s="9"/>
      <c r="K6" s="10" t="str">
        <f aca="false">IF(A6="","",IF(E6="","à noter",IF(OR(E6&lt;0,E6&gt;10),"hors échelle",IF(AND(F6&lt;&gt;"",F6&gt;E6),"min &gt; valeur",IF(AND(G6&lt;&gt;"",G6&lt;E6),"max &lt; valeur",IF(J6="","sans source","ok"))))))</f>
        <v>à noter</v>
      </c>
    </row>
    <row r="7" customFormat="false" ht="15" hidden="false" customHeight="false" outlineLevel="0" collapsed="false">
      <c r="A7" s="8" t="s">
        <v>126</v>
      </c>
      <c r="B7" s="8" t="s">
        <v>314</v>
      </c>
      <c r="C7" s="10" t="str">
        <f aca="false">IFERROR(INDEX(Criteres!$A$2:$A$1000,MATCH(B7,Criteres!$B$2:$B$1000,0)),"")</f>
        <v>economie</v>
      </c>
      <c r="D7" s="8" t="s">
        <v>324</v>
      </c>
      <c r="E7" s="9"/>
      <c r="F7" s="9"/>
      <c r="G7" s="9"/>
      <c r="H7" s="9"/>
      <c r="I7" s="9"/>
      <c r="J7" s="9"/>
      <c r="K7" s="10" t="str">
        <f aca="false">IF(A7="","",IF(E7="","à noter",IF(OR(E7&lt;0,E7&gt;10),"hors échelle",IF(AND(F7&lt;&gt;"",F7&gt;E7),"min &gt; valeur",IF(AND(G7&lt;&gt;"",G7&lt;E7),"max &lt; valeur",IF(J7="","sans source","ok"))))))</f>
        <v>à noter</v>
      </c>
    </row>
    <row r="8" customFormat="false" ht="15" hidden="false" customHeight="false" outlineLevel="0" collapsed="false">
      <c r="A8" s="8" t="s">
        <v>126</v>
      </c>
      <c r="B8" s="8" t="s">
        <v>315</v>
      </c>
      <c r="C8" s="10" t="str">
        <f aca="false">IFERROR(INDEX(Criteres!$A$2:$A$1000,MATCH(B8,Criteres!$B$2:$B$1000,0)),"")</f>
        <v>economie</v>
      </c>
      <c r="D8" s="8" t="s">
        <v>324</v>
      </c>
      <c r="E8" s="9"/>
      <c r="F8" s="9"/>
      <c r="G8" s="9"/>
      <c r="H8" s="9"/>
      <c r="I8" s="9"/>
      <c r="J8" s="9"/>
      <c r="K8" s="10" t="str">
        <f aca="false">IF(A8="","",IF(E8="","à noter",IF(OR(E8&lt;0,E8&gt;10),"hors échelle",IF(AND(F8&lt;&gt;"",F8&gt;E8),"min &gt; valeur",IF(AND(G8&lt;&gt;"",G8&lt;E8),"max &lt; valeur",IF(J8="","sans source","ok"))))))</f>
        <v>à noter</v>
      </c>
    </row>
    <row r="9" customFormat="false" ht="15" hidden="false" customHeight="false" outlineLevel="0" collapsed="false">
      <c r="A9" s="8" t="s">
        <v>102</v>
      </c>
      <c r="B9" s="8" t="s">
        <v>309</v>
      </c>
      <c r="C9" s="10" t="str">
        <f aca="false">IFERROR(INDEX(Criteres!$A$2:$A$1000,MATCH(B9,Criteres!$B$2:$B$1000,0)),"")</f>
        <v>economie</v>
      </c>
      <c r="D9" s="8" t="s">
        <v>324</v>
      </c>
      <c r="E9" s="9"/>
      <c r="F9" s="9"/>
      <c r="G9" s="9"/>
      <c r="H9" s="9"/>
      <c r="I9" s="9"/>
      <c r="J9" s="9"/>
      <c r="K9" s="10" t="str">
        <f aca="false">IF(A9="","",IF(E9="","à noter",IF(OR(E9&lt;0,E9&gt;10),"hors échelle",IF(AND(F9&lt;&gt;"",F9&gt;E9),"min &gt; valeur",IF(AND(G9&lt;&gt;"",G9&lt;E9),"max &lt; valeur",IF(J9="","sans source","ok"))))))</f>
        <v>à noter</v>
      </c>
    </row>
    <row r="10" customFormat="false" ht="15" hidden="false" customHeight="false" outlineLevel="0" collapsed="false">
      <c r="A10" s="8" t="s">
        <v>102</v>
      </c>
      <c r="B10" s="8" t="s">
        <v>310</v>
      </c>
      <c r="C10" s="10" t="str">
        <f aca="false">IFERROR(INDEX(Criteres!$A$2:$A$1000,MATCH(B10,Criteres!$B$2:$B$1000,0)),"")</f>
        <v>economie</v>
      </c>
      <c r="D10" s="8" t="s">
        <v>324</v>
      </c>
      <c r="E10" s="9"/>
      <c r="F10" s="9"/>
      <c r="G10" s="9"/>
      <c r="H10" s="9"/>
      <c r="I10" s="9"/>
      <c r="J10" s="9"/>
      <c r="K10" s="10" t="str">
        <f aca="false">IF(A10="","",IF(E10="","à noter",IF(OR(E10&lt;0,E10&gt;10),"hors échelle",IF(AND(F10&lt;&gt;"",F10&gt;E10),"min &gt; valeur",IF(AND(G10&lt;&gt;"",G10&lt;E10),"max &lt; valeur",IF(J10="","sans source","ok"))))))</f>
        <v>à noter</v>
      </c>
    </row>
    <row r="11" customFormat="false" ht="15" hidden="false" customHeight="false" outlineLevel="0" collapsed="false">
      <c r="A11" s="8" t="s">
        <v>102</v>
      </c>
      <c r="B11" s="8" t="s">
        <v>311</v>
      </c>
      <c r="C11" s="10" t="str">
        <f aca="false">IFERROR(INDEX(Criteres!$A$2:$A$1000,MATCH(B11,Criteres!$B$2:$B$1000,0)),"")</f>
        <v>economie</v>
      </c>
      <c r="D11" s="8" t="s">
        <v>324</v>
      </c>
      <c r="E11" s="9"/>
      <c r="F11" s="9"/>
      <c r="G11" s="9"/>
      <c r="H11" s="9"/>
      <c r="I11" s="9"/>
      <c r="J11" s="9"/>
      <c r="K11" s="10" t="str">
        <f aca="false">IF(A11="","",IF(E11="","à noter",IF(OR(E11&lt;0,E11&gt;10),"hors échelle",IF(AND(F11&lt;&gt;"",F11&gt;E11),"min &gt; valeur",IF(AND(G11&lt;&gt;"",G11&lt;E11),"max &lt; valeur",IF(J11="","sans source","ok"))))))</f>
        <v>à noter</v>
      </c>
    </row>
    <row r="12" customFormat="false" ht="15" hidden="false" customHeight="false" outlineLevel="0" collapsed="false">
      <c r="A12" s="8" t="s">
        <v>102</v>
      </c>
      <c r="B12" s="8" t="s">
        <v>312</v>
      </c>
      <c r="C12" s="10" t="str">
        <f aca="false">IFERROR(INDEX(Criteres!$A$2:$A$1000,MATCH(B12,Criteres!$B$2:$B$1000,0)),"")</f>
        <v>economie</v>
      </c>
      <c r="D12" s="8" t="s">
        <v>324</v>
      </c>
      <c r="E12" s="9"/>
      <c r="F12" s="9"/>
      <c r="G12" s="9"/>
      <c r="H12" s="9"/>
      <c r="I12" s="9"/>
      <c r="J12" s="9"/>
      <c r="K12" s="10" t="str">
        <f aca="false">IF(A12="","",IF(E12="","à noter",IF(OR(E12&lt;0,E12&gt;10),"hors échelle",IF(AND(F12&lt;&gt;"",F12&gt;E12),"min &gt; valeur",IF(AND(G12&lt;&gt;"",G12&lt;E12),"max &lt; valeur",IF(J12="","sans source","ok"))))))</f>
        <v>à noter</v>
      </c>
    </row>
    <row r="13" customFormat="false" ht="15" hidden="false" customHeight="false" outlineLevel="0" collapsed="false">
      <c r="A13" s="8" t="s">
        <v>102</v>
      </c>
      <c r="B13" s="8" t="s">
        <v>313</v>
      </c>
      <c r="C13" s="10" t="str">
        <f aca="false">IFERROR(INDEX(Criteres!$A$2:$A$1000,MATCH(B13,Criteres!$B$2:$B$1000,0)),"")</f>
        <v>economie</v>
      </c>
      <c r="D13" s="8" t="s">
        <v>324</v>
      </c>
      <c r="E13" s="9"/>
      <c r="F13" s="9"/>
      <c r="G13" s="9"/>
      <c r="H13" s="9"/>
      <c r="I13" s="9"/>
      <c r="J13" s="9"/>
      <c r="K13" s="10" t="str">
        <f aca="false">IF(A13="","",IF(E13="","à noter",IF(OR(E13&lt;0,E13&gt;10),"hors échelle",IF(AND(F13&lt;&gt;"",F13&gt;E13),"min &gt; valeur",IF(AND(G13&lt;&gt;"",G13&lt;E13),"max &lt; valeur",IF(J13="","sans source","ok"))))))</f>
        <v>à noter</v>
      </c>
    </row>
    <row r="14" customFormat="false" ht="15" hidden="false" customHeight="false" outlineLevel="0" collapsed="false">
      <c r="A14" s="8" t="s">
        <v>102</v>
      </c>
      <c r="B14" s="8" t="s">
        <v>314</v>
      </c>
      <c r="C14" s="10" t="str">
        <f aca="false">IFERROR(INDEX(Criteres!$A$2:$A$1000,MATCH(B14,Criteres!$B$2:$B$1000,0)),"")</f>
        <v>economie</v>
      </c>
      <c r="D14" s="8" t="s">
        <v>324</v>
      </c>
      <c r="E14" s="9"/>
      <c r="F14" s="9"/>
      <c r="G14" s="9"/>
      <c r="H14" s="9"/>
      <c r="I14" s="9"/>
      <c r="J14" s="9"/>
      <c r="K14" s="10" t="str">
        <f aca="false">IF(A14="","",IF(E14="","à noter",IF(OR(E14&lt;0,E14&gt;10),"hors échelle",IF(AND(F14&lt;&gt;"",F14&gt;E14),"min &gt; valeur",IF(AND(G14&lt;&gt;"",G14&lt;E14),"max &lt; valeur",IF(J14="","sans source","ok"))))))</f>
        <v>à noter</v>
      </c>
    </row>
    <row r="15" customFormat="false" ht="15" hidden="false" customHeight="false" outlineLevel="0" collapsed="false">
      <c r="A15" s="8" t="s">
        <v>102</v>
      </c>
      <c r="B15" s="8" t="s">
        <v>315</v>
      </c>
      <c r="C15" s="10" t="str">
        <f aca="false">IFERROR(INDEX(Criteres!$A$2:$A$1000,MATCH(B15,Criteres!$B$2:$B$1000,0)),"")</f>
        <v>economie</v>
      </c>
      <c r="D15" s="8" t="s">
        <v>324</v>
      </c>
      <c r="E15" s="9"/>
      <c r="F15" s="9"/>
      <c r="G15" s="9"/>
      <c r="H15" s="9"/>
      <c r="I15" s="9"/>
      <c r="J15" s="9"/>
      <c r="K15" s="10" t="str">
        <f aca="false">IF(A15="","",IF(E15="","à noter",IF(OR(E15&lt;0,E15&gt;10),"hors échelle",IF(AND(F15&lt;&gt;"",F15&gt;E15),"min &gt; valeur",IF(AND(G15&lt;&gt;"",G15&lt;E15),"max &lt; valeur",IF(J15="","sans source","ok"))))))</f>
        <v>à noter</v>
      </c>
    </row>
    <row r="16" customFormat="false" ht="15" hidden="false" customHeight="false" outlineLevel="0" collapsed="false">
      <c r="A16" s="8" t="s">
        <v>163</v>
      </c>
      <c r="B16" s="8" t="s">
        <v>309</v>
      </c>
      <c r="C16" s="10" t="str">
        <f aca="false">IFERROR(INDEX(Criteres!$A$2:$A$1000,MATCH(B16,Criteres!$B$2:$B$1000,0)),"")</f>
        <v>economie</v>
      </c>
      <c r="D16" s="8" t="s">
        <v>324</v>
      </c>
      <c r="E16" s="9"/>
      <c r="F16" s="9"/>
      <c r="G16" s="9"/>
      <c r="H16" s="9"/>
      <c r="I16" s="9"/>
      <c r="J16" s="9"/>
      <c r="K16" s="10" t="str">
        <f aca="false">IF(A16="","",IF(E16="","à noter",IF(OR(E16&lt;0,E16&gt;10),"hors échelle",IF(AND(F16&lt;&gt;"",F16&gt;E16),"min &gt; valeur",IF(AND(G16&lt;&gt;"",G16&lt;E16),"max &lt; valeur",IF(J16="","sans source","ok"))))))</f>
        <v>à noter</v>
      </c>
    </row>
    <row r="17" customFormat="false" ht="15" hidden="false" customHeight="false" outlineLevel="0" collapsed="false">
      <c r="A17" s="8" t="s">
        <v>163</v>
      </c>
      <c r="B17" s="8" t="s">
        <v>310</v>
      </c>
      <c r="C17" s="10" t="str">
        <f aca="false">IFERROR(INDEX(Criteres!$A$2:$A$1000,MATCH(B17,Criteres!$B$2:$B$1000,0)),"")</f>
        <v>economie</v>
      </c>
      <c r="D17" s="8" t="s">
        <v>324</v>
      </c>
      <c r="E17" s="9"/>
      <c r="F17" s="9"/>
      <c r="G17" s="9"/>
      <c r="H17" s="9"/>
      <c r="I17" s="9"/>
      <c r="J17" s="9"/>
      <c r="K17" s="10" t="str">
        <f aca="false">IF(A17="","",IF(E17="","à noter",IF(OR(E17&lt;0,E17&gt;10),"hors échelle",IF(AND(F17&lt;&gt;"",F17&gt;E17),"min &gt; valeur",IF(AND(G17&lt;&gt;"",G17&lt;E17),"max &lt; valeur",IF(J17="","sans source","ok"))))))</f>
        <v>à noter</v>
      </c>
    </row>
    <row r="18" customFormat="false" ht="15" hidden="false" customHeight="false" outlineLevel="0" collapsed="false">
      <c r="A18" s="8" t="s">
        <v>163</v>
      </c>
      <c r="B18" s="8" t="s">
        <v>311</v>
      </c>
      <c r="C18" s="10" t="str">
        <f aca="false">IFERROR(INDEX(Criteres!$A$2:$A$1000,MATCH(B18,Criteres!$B$2:$B$1000,0)),"")</f>
        <v>economie</v>
      </c>
      <c r="D18" s="8" t="s">
        <v>324</v>
      </c>
      <c r="E18" s="9"/>
      <c r="F18" s="9"/>
      <c r="G18" s="9"/>
      <c r="H18" s="9"/>
      <c r="I18" s="9"/>
      <c r="J18" s="9"/>
      <c r="K18" s="10" t="str">
        <f aca="false">IF(A18="","",IF(E18="","à noter",IF(OR(E18&lt;0,E18&gt;10),"hors échelle",IF(AND(F18&lt;&gt;"",F18&gt;E18),"min &gt; valeur",IF(AND(G18&lt;&gt;"",G18&lt;E18),"max &lt; valeur",IF(J18="","sans source","ok"))))))</f>
        <v>à noter</v>
      </c>
    </row>
    <row r="19" customFormat="false" ht="15" hidden="false" customHeight="false" outlineLevel="0" collapsed="false">
      <c r="A19" s="8" t="s">
        <v>163</v>
      </c>
      <c r="B19" s="8" t="s">
        <v>312</v>
      </c>
      <c r="C19" s="10" t="str">
        <f aca="false">IFERROR(INDEX(Criteres!$A$2:$A$1000,MATCH(B19,Criteres!$B$2:$B$1000,0)),"")</f>
        <v>economie</v>
      </c>
      <c r="D19" s="8" t="s">
        <v>324</v>
      </c>
      <c r="E19" s="9"/>
      <c r="F19" s="9"/>
      <c r="G19" s="9"/>
      <c r="H19" s="9"/>
      <c r="I19" s="9"/>
      <c r="J19" s="9"/>
      <c r="K19" s="10" t="str">
        <f aca="false">IF(A19="","",IF(E19="","à noter",IF(OR(E19&lt;0,E19&gt;10),"hors échelle",IF(AND(F19&lt;&gt;"",F19&gt;E19),"min &gt; valeur",IF(AND(G19&lt;&gt;"",G19&lt;E19),"max &lt; valeur",IF(J19="","sans source","ok"))))))</f>
        <v>à noter</v>
      </c>
    </row>
    <row r="20" customFormat="false" ht="15" hidden="false" customHeight="false" outlineLevel="0" collapsed="false">
      <c r="A20" s="8" t="s">
        <v>163</v>
      </c>
      <c r="B20" s="8" t="s">
        <v>313</v>
      </c>
      <c r="C20" s="10" t="str">
        <f aca="false">IFERROR(INDEX(Criteres!$A$2:$A$1000,MATCH(B20,Criteres!$B$2:$B$1000,0)),"")</f>
        <v>economie</v>
      </c>
      <c r="D20" s="8" t="s">
        <v>324</v>
      </c>
      <c r="E20" s="9"/>
      <c r="F20" s="9"/>
      <c r="G20" s="9"/>
      <c r="H20" s="9"/>
      <c r="I20" s="9"/>
      <c r="J20" s="9"/>
      <c r="K20" s="10" t="str">
        <f aca="false">IF(A20="","",IF(E20="","à noter",IF(OR(E20&lt;0,E20&gt;10),"hors échelle",IF(AND(F20&lt;&gt;"",F20&gt;E20),"min &gt; valeur",IF(AND(G20&lt;&gt;"",G20&lt;E20),"max &lt; valeur",IF(J20="","sans source","ok"))))))</f>
        <v>à noter</v>
      </c>
    </row>
    <row r="21" customFormat="false" ht="15" hidden="false" customHeight="false" outlineLevel="0" collapsed="false">
      <c r="A21" s="8" t="s">
        <v>163</v>
      </c>
      <c r="B21" s="8" t="s">
        <v>314</v>
      </c>
      <c r="C21" s="10" t="str">
        <f aca="false">IFERROR(INDEX(Criteres!$A$2:$A$1000,MATCH(B21,Criteres!$B$2:$B$1000,0)),"")</f>
        <v>economie</v>
      </c>
      <c r="D21" s="8" t="s">
        <v>324</v>
      </c>
      <c r="E21" s="9"/>
      <c r="F21" s="9"/>
      <c r="G21" s="9"/>
      <c r="H21" s="9"/>
      <c r="I21" s="9"/>
      <c r="J21" s="9"/>
      <c r="K21" s="10" t="str">
        <f aca="false">IF(A21="","",IF(E21="","à noter",IF(OR(E21&lt;0,E21&gt;10),"hors échelle",IF(AND(F21&lt;&gt;"",F21&gt;E21),"min &gt; valeur",IF(AND(G21&lt;&gt;"",G21&lt;E21),"max &lt; valeur",IF(J21="","sans source","ok"))))))</f>
        <v>à noter</v>
      </c>
    </row>
    <row r="22" customFormat="false" ht="15" hidden="false" customHeight="false" outlineLevel="0" collapsed="false">
      <c r="A22" s="8" t="s">
        <v>163</v>
      </c>
      <c r="B22" s="8" t="s">
        <v>315</v>
      </c>
      <c r="C22" s="10" t="str">
        <f aca="false">IFERROR(INDEX(Criteres!$A$2:$A$1000,MATCH(B22,Criteres!$B$2:$B$1000,0)),"")</f>
        <v>economie</v>
      </c>
      <c r="D22" s="8" t="s">
        <v>324</v>
      </c>
      <c r="E22" s="9"/>
      <c r="F22" s="9"/>
      <c r="G22" s="9"/>
      <c r="H22" s="9"/>
      <c r="I22" s="9"/>
      <c r="J22" s="9"/>
      <c r="K22" s="10" t="str">
        <f aca="false">IF(A22="","",IF(E22="","à noter",IF(OR(E22&lt;0,E22&gt;10),"hors échelle",IF(AND(F22&lt;&gt;"",F22&gt;E22),"min &gt; valeur",IF(AND(G22&lt;&gt;"",G22&lt;E22),"max &lt; valeur",IF(J22="","sans source","ok"))))))</f>
        <v>à noter</v>
      </c>
    </row>
    <row r="23" customFormat="false" ht="15" hidden="false" customHeight="false" outlineLevel="0" collapsed="false">
      <c r="A23" s="8" t="s">
        <v>94</v>
      </c>
      <c r="B23" s="8" t="s">
        <v>309</v>
      </c>
      <c r="C23" s="10" t="str">
        <f aca="false">IFERROR(INDEX(Criteres!$A$2:$A$1000,MATCH(B23,Criteres!$B$2:$B$1000,0)),"")</f>
        <v>economie</v>
      </c>
      <c r="D23" s="8" t="s">
        <v>324</v>
      </c>
      <c r="E23" s="9"/>
      <c r="F23" s="9"/>
      <c r="G23" s="9"/>
      <c r="H23" s="9"/>
      <c r="I23" s="9"/>
      <c r="J23" s="9"/>
      <c r="K23" s="10" t="str">
        <f aca="false">IF(A23="","",IF(E23="","à noter",IF(OR(E23&lt;0,E23&gt;10),"hors échelle",IF(AND(F23&lt;&gt;"",F23&gt;E23),"min &gt; valeur",IF(AND(G23&lt;&gt;"",G23&lt;E23),"max &lt; valeur",IF(J23="","sans source","ok"))))))</f>
        <v>à noter</v>
      </c>
    </row>
    <row r="24" customFormat="false" ht="15" hidden="false" customHeight="false" outlineLevel="0" collapsed="false">
      <c r="A24" s="8" t="s">
        <v>94</v>
      </c>
      <c r="B24" s="8" t="s">
        <v>310</v>
      </c>
      <c r="C24" s="10" t="str">
        <f aca="false">IFERROR(INDEX(Criteres!$A$2:$A$1000,MATCH(B24,Criteres!$B$2:$B$1000,0)),"")</f>
        <v>economie</v>
      </c>
      <c r="D24" s="8" t="s">
        <v>324</v>
      </c>
      <c r="E24" s="9"/>
      <c r="F24" s="9"/>
      <c r="G24" s="9"/>
      <c r="H24" s="9"/>
      <c r="I24" s="9"/>
      <c r="J24" s="9"/>
      <c r="K24" s="10" t="str">
        <f aca="false">IF(A24="","",IF(E24="","à noter",IF(OR(E24&lt;0,E24&gt;10),"hors échelle",IF(AND(F24&lt;&gt;"",F24&gt;E24),"min &gt; valeur",IF(AND(G24&lt;&gt;"",G24&lt;E24),"max &lt; valeur",IF(J24="","sans source","ok"))))))</f>
        <v>à noter</v>
      </c>
    </row>
    <row r="25" customFormat="false" ht="15" hidden="false" customHeight="false" outlineLevel="0" collapsed="false">
      <c r="A25" s="8" t="s">
        <v>94</v>
      </c>
      <c r="B25" s="8" t="s">
        <v>311</v>
      </c>
      <c r="C25" s="10" t="str">
        <f aca="false">IFERROR(INDEX(Criteres!$A$2:$A$1000,MATCH(B25,Criteres!$B$2:$B$1000,0)),"")</f>
        <v>economie</v>
      </c>
      <c r="D25" s="8" t="s">
        <v>324</v>
      </c>
      <c r="E25" s="9"/>
      <c r="F25" s="9"/>
      <c r="G25" s="9"/>
      <c r="H25" s="9"/>
      <c r="I25" s="9"/>
      <c r="J25" s="9"/>
      <c r="K25" s="10" t="str">
        <f aca="false">IF(A25="","",IF(E25="","à noter",IF(OR(E25&lt;0,E25&gt;10),"hors échelle",IF(AND(F25&lt;&gt;"",F25&gt;E25),"min &gt; valeur",IF(AND(G25&lt;&gt;"",G25&lt;E25),"max &lt; valeur",IF(J25="","sans source","ok"))))))</f>
        <v>à noter</v>
      </c>
    </row>
    <row r="26" customFormat="false" ht="15" hidden="false" customHeight="false" outlineLevel="0" collapsed="false">
      <c r="A26" s="8" t="s">
        <v>94</v>
      </c>
      <c r="B26" s="8" t="s">
        <v>312</v>
      </c>
      <c r="C26" s="10" t="str">
        <f aca="false">IFERROR(INDEX(Criteres!$A$2:$A$1000,MATCH(B26,Criteres!$B$2:$B$1000,0)),"")</f>
        <v>economie</v>
      </c>
      <c r="D26" s="8" t="s">
        <v>324</v>
      </c>
      <c r="E26" s="9"/>
      <c r="F26" s="9"/>
      <c r="G26" s="9"/>
      <c r="H26" s="9"/>
      <c r="I26" s="9"/>
      <c r="J26" s="9"/>
      <c r="K26" s="10" t="str">
        <f aca="false">IF(A26="","",IF(E26="","à noter",IF(OR(E26&lt;0,E26&gt;10),"hors échelle",IF(AND(F26&lt;&gt;"",F26&gt;E26),"min &gt; valeur",IF(AND(G26&lt;&gt;"",G26&lt;E26),"max &lt; valeur",IF(J26="","sans source","ok"))))))</f>
        <v>à noter</v>
      </c>
    </row>
    <row r="27" customFormat="false" ht="15" hidden="false" customHeight="false" outlineLevel="0" collapsed="false">
      <c r="A27" s="8" t="s">
        <v>94</v>
      </c>
      <c r="B27" s="8" t="s">
        <v>313</v>
      </c>
      <c r="C27" s="10" t="str">
        <f aca="false">IFERROR(INDEX(Criteres!$A$2:$A$1000,MATCH(B27,Criteres!$B$2:$B$1000,0)),"")</f>
        <v>economie</v>
      </c>
      <c r="D27" s="8" t="s">
        <v>324</v>
      </c>
      <c r="E27" s="9"/>
      <c r="F27" s="9"/>
      <c r="G27" s="9"/>
      <c r="H27" s="9"/>
      <c r="I27" s="9"/>
      <c r="J27" s="9"/>
      <c r="K27" s="10" t="str">
        <f aca="false">IF(A27="","",IF(E27="","à noter",IF(OR(E27&lt;0,E27&gt;10),"hors échelle",IF(AND(F27&lt;&gt;"",F27&gt;E27),"min &gt; valeur",IF(AND(G27&lt;&gt;"",G27&lt;E27),"max &lt; valeur",IF(J27="","sans source","ok"))))))</f>
        <v>à noter</v>
      </c>
    </row>
    <row r="28" customFormat="false" ht="15" hidden="false" customHeight="false" outlineLevel="0" collapsed="false">
      <c r="A28" s="8" t="s">
        <v>94</v>
      </c>
      <c r="B28" s="8" t="s">
        <v>314</v>
      </c>
      <c r="C28" s="10" t="str">
        <f aca="false">IFERROR(INDEX(Criteres!$A$2:$A$1000,MATCH(B28,Criteres!$B$2:$B$1000,0)),"")</f>
        <v>economie</v>
      </c>
      <c r="D28" s="8" t="s">
        <v>324</v>
      </c>
      <c r="E28" s="9"/>
      <c r="F28" s="9"/>
      <c r="G28" s="9"/>
      <c r="H28" s="9"/>
      <c r="I28" s="9"/>
      <c r="J28" s="9"/>
      <c r="K28" s="10" t="str">
        <f aca="false">IF(A28="","",IF(E28="","à noter",IF(OR(E28&lt;0,E28&gt;10),"hors échelle",IF(AND(F28&lt;&gt;"",F28&gt;E28),"min &gt; valeur",IF(AND(G28&lt;&gt;"",G28&lt;E28),"max &lt; valeur",IF(J28="","sans source","ok"))))))</f>
        <v>à noter</v>
      </c>
    </row>
    <row r="29" customFormat="false" ht="15" hidden="false" customHeight="false" outlineLevel="0" collapsed="false">
      <c r="A29" s="8" t="s">
        <v>94</v>
      </c>
      <c r="B29" s="8" t="s">
        <v>315</v>
      </c>
      <c r="C29" s="10" t="str">
        <f aca="false">IFERROR(INDEX(Criteres!$A$2:$A$1000,MATCH(B29,Criteres!$B$2:$B$1000,0)),"")</f>
        <v>economie</v>
      </c>
      <c r="D29" s="8" t="s">
        <v>324</v>
      </c>
      <c r="E29" s="9"/>
      <c r="F29" s="9"/>
      <c r="G29" s="9"/>
      <c r="H29" s="9"/>
      <c r="I29" s="9"/>
      <c r="J29" s="9"/>
      <c r="K29" s="10" t="str">
        <f aca="false">IF(A29="","",IF(E29="","à noter",IF(OR(E29&lt;0,E29&gt;10),"hors échelle",IF(AND(F29&lt;&gt;"",F29&gt;E29),"min &gt; valeur",IF(AND(G29&lt;&gt;"",G29&lt;E29),"max &lt; valeur",IF(J29="","sans source","ok"))))))</f>
        <v>à noter</v>
      </c>
    </row>
    <row r="30" customFormat="false" ht="15" hidden="false" customHeight="false" outlineLevel="0" collapsed="false">
      <c r="A30" s="8" t="s">
        <v>61</v>
      </c>
      <c r="B30" s="8" t="s">
        <v>309</v>
      </c>
      <c r="C30" s="10" t="str">
        <f aca="false">IFERROR(INDEX(Criteres!$A$2:$A$1000,MATCH(B30,Criteres!$B$2:$B$1000,0)),"")</f>
        <v>economie</v>
      </c>
      <c r="D30" s="8" t="s">
        <v>324</v>
      </c>
      <c r="E30" s="9"/>
      <c r="F30" s="9"/>
      <c r="G30" s="9"/>
      <c r="H30" s="9"/>
      <c r="I30" s="9"/>
      <c r="J30" s="9"/>
      <c r="K30" s="10" t="str">
        <f aca="false">IF(A30="","",IF(E30="","à noter",IF(OR(E30&lt;0,E30&gt;10),"hors échelle",IF(AND(F30&lt;&gt;"",F30&gt;E30),"min &gt; valeur",IF(AND(G30&lt;&gt;"",G30&lt;E30),"max &lt; valeur",IF(J30="","sans source","ok"))))))</f>
        <v>à noter</v>
      </c>
    </row>
    <row r="31" customFormat="false" ht="15" hidden="false" customHeight="false" outlineLevel="0" collapsed="false">
      <c r="A31" s="8" t="s">
        <v>61</v>
      </c>
      <c r="B31" s="8" t="s">
        <v>310</v>
      </c>
      <c r="C31" s="10" t="str">
        <f aca="false">IFERROR(INDEX(Criteres!$A$2:$A$1000,MATCH(B31,Criteres!$B$2:$B$1000,0)),"")</f>
        <v>economie</v>
      </c>
      <c r="D31" s="8" t="s">
        <v>324</v>
      </c>
      <c r="E31" s="9"/>
      <c r="F31" s="9"/>
      <c r="G31" s="9"/>
      <c r="H31" s="9"/>
      <c r="I31" s="9"/>
      <c r="J31" s="9"/>
      <c r="K31" s="10" t="str">
        <f aca="false">IF(A31="","",IF(E31="","à noter",IF(OR(E31&lt;0,E31&gt;10),"hors échelle",IF(AND(F31&lt;&gt;"",F31&gt;E31),"min &gt; valeur",IF(AND(G31&lt;&gt;"",G31&lt;E31),"max &lt; valeur",IF(J31="","sans source","ok"))))))</f>
        <v>à noter</v>
      </c>
    </row>
    <row r="32" customFormat="false" ht="15" hidden="false" customHeight="false" outlineLevel="0" collapsed="false">
      <c r="A32" s="8" t="s">
        <v>61</v>
      </c>
      <c r="B32" s="8" t="s">
        <v>311</v>
      </c>
      <c r="C32" s="10" t="str">
        <f aca="false">IFERROR(INDEX(Criteres!$A$2:$A$1000,MATCH(B32,Criteres!$B$2:$B$1000,0)),"")</f>
        <v>economie</v>
      </c>
      <c r="D32" s="8" t="s">
        <v>324</v>
      </c>
      <c r="E32" s="9"/>
      <c r="F32" s="9"/>
      <c r="G32" s="9"/>
      <c r="H32" s="9"/>
      <c r="I32" s="9"/>
      <c r="J32" s="9"/>
      <c r="K32" s="10" t="str">
        <f aca="false">IF(A32="","",IF(E32="","à noter",IF(OR(E32&lt;0,E32&gt;10),"hors échelle",IF(AND(F32&lt;&gt;"",F32&gt;E32),"min &gt; valeur",IF(AND(G32&lt;&gt;"",G32&lt;E32),"max &lt; valeur",IF(J32="","sans source","ok"))))))</f>
        <v>à noter</v>
      </c>
    </row>
    <row r="33" customFormat="false" ht="15" hidden="false" customHeight="false" outlineLevel="0" collapsed="false">
      <c r="A33" s="8" t="s">
        <v>61</v>
      </c>
      <c r="B33" s="8" t="s">
        <v>312</v>
      </c>
      <c r="C33" s="10" t="str">
        <f aca="false">IFERROR(INDEX(Criteres!$A$2:$A$1000,MATCH(B33,Criteres!$B$2:$B$1000,0)),"")</f>
        <v>economie</v>
      </c>
      <c r="D33" s="8" t="s">
        <v>324</v>
      </c>
      <c r="E33" s="9"/>
      <c r="F33" s="9"/>
      <c r="G33" s="9"/>
      <c r="H33" s="9"/>
      <c r="I33" s="9"/>
      <c r="J33" s="9"/>
      <c r="K33" s="10" t="str">
        <f aca="false">IF(A33="","",IF(E33="","à noter",IF(OR(E33&lt;0,E33&gt;10),"hors échelle",IF(AND(F33&lt;&gt;"",F33&gt;E33),"min &gt; valeur",IF(AND(G33&lt;&gt;"",G33&lt;E33),"max &lt; valeur",IF(J33="","sans source","ok"))))))</f>
        <v>à noter</v>
      </c>
    </row>
    <row r="34" customFormat="false" ht="15" hidden="false" customHeight="false" outlineLevel="0" collapsed="false">
      <c r="A34" s="8" t="s">
        <v>61</v>
      </c>
      <c r="B34" s="8" t="s">
        <v>313</v>
      </c>
      <c r="C34" s="10" t="str">
        <f aca="false">IFERROR(INDEX(Criteres!$A$2:$A$1000,MATCH(B34,Criteres!$B$2:$B$1000,0)),"")</f>
        <v>economie</v>
      </c>
      <c r="D34" s="8" t="s">
        <v>324</v>
      </c>
      <c r="E34" s="9"/>
      <c r="F34" s="9"/>
      <c r="G34" s="9"/>
      <c r="H34" s="9"/>
      <c r="I34" s="9"/>
      <c r="J34" s="9"/>
      <c r="K34" s="10" t="str">
        <f aca="false">IF(A34="","",IF(E34="","à noter",IF(OR(E34&lt;0,E34&gt;10),"hors échelle",IF(AND(F34&lt;&gt;"",F34&gt;E34),"min &gt; valeur",IF(AND(G34&lt;&gt;"",G34&lt;E34),"max &lt; valeur",IF(J34="","sans source","ok"))))))</f>
        <v>à noter</v>
      </c>
    </row>
    <row r="35" customFormat="false" ht="15" hidden="false" customHeight="false" outlineLevel="0" collapsed="false">
      <c r="A35" s="8" t="s">
        <v>61</v>
      </c>
      <c r="B35" s="8" t="s">
        <v>314</v>
      </c>
      <c r="C35" s="10" t="str">
        <f aca="false">IFERROR(INDEX(Criteres!$A$2:$A$1000,MATCH(B35,Criteres!$B$2:$B$1000,0)),"")</f>
        <v>economie</v>
      </c>
      <c r="D35" s="8" t="s">
        <v>324</v>
      </c>
      <c r="E35" s="9"/>
      <c r="F35" s="9"/>
      <c r="G35" s="9"/>
      <c r="H35" s="9"/>
      <c r="I35" s="9"/>
      <c r="J35" s="9"/>
      <c r="K35" s="10" t="str">
        <f aca="false">IF(A35="","",IF(E35="","à noter",IF(OR(E35&lt;0,E35&gt;10),"hors échelle",IF(AND(F35&lt;&gt;"",F35&gt;E35),"min &gt; valeur",IF(AND(G35&lt;&gt;"",G35&lt;E35),"max &lt; valeur",IF(J35="","sans source","ok"))))))</f>
        <v>à noter</v>
      </c>
    </row>
    <row r="36" customFormat="false" ht="15" hidden="false" customHeight="false" outlineLevel="0" collapsed="false">
      <c r="A36" s="8" t="s">
        <v>61</v>
      </c>
      <c r="B36" s="8" t="s">
        <v>315</v>
      </c>
      <c r="C36" s="10" t="str">
        <f aca="false">IFERROR(INDEX(Criteres!$A$2:$A$1000,MATCH(B36,Criteres!$B$2:$B$1000,0)),"")</f>
        <v>economie</v>
      </c>
      <c r="D36" s="8" t="s">
        <v>324</v>
      </c>
      <c r="E36" s="9"/>
      <c r="F36" s="9"/>
      <c r="G36" s="9"/>
      <c r="H36" s="9"/>
      <c r="I36" s="9"/>
      <c r="J36" s="9"/>
      <c r="K36" s="10" t="str">
        <f aca="false">IF(A36="","",IF(E36="","à noter",IF(OR(E36&lt;0,E36&gt;10),"hors échelle",IF(AND(F36&lt;&gt;"",F36&gt;E36),"min &gt; valeur",IF(AND(G36&lt;&gt;"",G36&lt;E36),"max &lt; valeur",IF(J36="","sans source","ok"))))))</f>
        <v>à noter</v>
      </c>
    </row>
    <row r="37" customFormat="false" ht="15" hidden="false" customHeight="false" outlineLevel="0" collapsed="false">
      <c r="A37" s="8" t="s">
        <v>66</v>
      </c>
      <c r="B37" s="8" t="s">
        <v>309</v>
      </c>
      <c r="C37" s="10" t="str">
        <f aca="false">IFERROR(INDEX(Criteres!$A$2:$A$1000,MATCH(B37,Criteres!$B$2:$B$1000,0)),"")</f>
        <v>economie</v>
      </c>
      <c r="D37" s="8" t="s">
        <v>324</v>
      </c>
      <c r="E37" s="9"/>
      <c r="F37" s="9"/>
      <c r="G37" s="9"/>
      <c r="H37" s="9"/>
      <c r="I37" s="9"/>
      <c r="J37" s="9"/>
      <c r="K37" s="10" t="str">
        <f aca="false">IF(A37="","",IF(E37="","à noter",IF(OR(E37&lt;0,E37&gt;10),"hors échelle",IF(AND(F37&lt;&gt;"",F37&gt;E37),"min &gt; valeur",IF(AND(G37&lt;&gt;"",G37&lt;E37),"max &lt; valeur",IF(J37="","sans source","ok"))))))</f>
        <v>à noter</v>
      </c>
    </row>
    <row r="38" customFormat="false" ht="15" hidden="false" customHeight="false" outlineLevel="0" collapsed="false">
      <c r="A38" s="8" t="s">
        <v>66</v>
      </c>
      <c r="B38" s="8" t="s">
        <v>310</v>
      </c>
      <c r="C38" s="10" t="str">
        <f aca="false">IFERROR(INDEX(Criteres!$A$2:$A$1000,MATCH(B38,Criteres!$B$2:$B$1000,0)),"")</f>
        <v>economie</v>
      </c>
      <c r="D38" s="8" t="s">
        <v>324</v>
      </c>
      <c r="E38" s="9"/>
      <c r="F38" s="9"/>
      <c r="G38" s="9"/>
      <c r="H38" s="9"/>
      <c r="I38" s="9"/>
      <c r="J38" s="9"/>
      <c r="K38" s="10" t="str">
        <f aca="false">IF(A38="","",IF(E38="","à noter",IF(OR(E38&lt;0,E38&gt;10),"hors échelle",IF(AND(F38&lt;&gt;"",F38&gt;E38),"min &gt; valeur",IF(AND(G38&lt;&gt;"",G38&lt;E38),"max &lt; valeur",IF(J38="","sans source","ok"))))))</f>
        <v>à noter</v>
      </c>
    </row>
    <row r="39" customFormat="false" ht="15" hidden="false" customHeight="false" outlineLevel="0" collapsed="false">
      <c r="A39" s="8" t="s">
        <v>66</v>
      </c>
      <c r="B39" s="8" t="s">
        <v>311</v>
      </c>
      <c r="C39" s="10" t="str">
        <f aca="false">IFERROR(INDEX(Criteres!$A$2:$A$1000,MATCH(B39,Criteres!$B$2:$B$1000,0)),"")</f>
        <v>economie</v>
      </c>
      <c r="D39" s="8" t="s">
        <v>324</v>
      </c>
      <c r="E39" s="9"/>
      <c r="F39" s="9"/>
      <c r="G39" s="9"/>
      <c r="H39" s="9"/>
      <c r="I39" s="9"/>
      <c r="J39" s="9"/>
      <c r="K39" s="10" t="str">
        <f aca="false">IF(A39="","",IF(E39="","à noter",IF(OR(E39&lt;0,E39&gt;10),"hors échelle",IF(AND(F39&lt;&gt;"",F39&gt;E39),"min &gt; valeur",IF(AND(G39&lt;&gt;"",G39&lt;E39),"max &lt; valeur",IF(J39="","sans source","ok"))))))</f>
        <v>à noter</v>
      </c>
    </row>
    <row r="40" customFormat="false" ht="15" hidden="false" customHeight="false" outlineLevel="0" collapsed="false">
      <c r="A40" s="8" t="s">
        <v>66</v>
      </c>
      <c r="B40" s="8" t="s">
        <v>312</v>
      </c>
      <c r="C40" s="10" t="str">
        <f aca="false">IFERROR(INDEX(Criteres!$A$2:$A$1000,MATCH(B40,Criteres!$B$2:$B$1000,0)),"")</f>
        <v>economie</v>
      </c>
      <c r="D40" s="8" t="s">
        <v>324</v>
      </c>
      <c r="E40" s="9"/>
      <c r="F40" s="9"/>
      <c r="G40" s="9"/>
      <c r="H40" s="9"/>
      <c r="I40" s="9"/>
      <c r="J40" s="9"/>
      <c r="K40" s="10" t="str">
        <f aca="false">IF(A40="","",IF(E40="","à noter",IF(OR(E40&lt;0,E40&gt;10),"hors échelle",IF(AND(F40&lt;&gt;"",F40&gt;E40),"min &gt; valeur",IF(AND(G40&lt;&gt;"",G40&lt;E40),"max &lt; valeur",IF(J40="","sans source","ok"))))))</f>
        <v>à noter</v>
      </c>
    </row>
    <row r="41" customFormat="false" ht="15" hidden="false" customHeight="false" outlineLevel="0" collapsed="false">
      <c r="A41" s="8" t="s">
        <v>66</v>
      </c>
      <c r="B41" s="8" t="s">
        <v>313</v>
      </c>
      <c r="C41" s="10" t="str">
        <f aca="false">IFERROR(INDEX(Criteres!$A$2:$A$1000,MATCH(B41,Criteres!$B$2:$B$1000,0)),"")</f>
        <v>economie</v>
      </c>
      <c r="D41" s="8" t="s">
        <v>324</v>
      </c>
      <c r="E41" s="9"/>
      <c r="F41" s="9"/>
      <c r="G41" s="9"/>
      <c r="H41" s="9"/>
      <c r="I41" s="9"/>
      <c r="J41" s="9"/>
      <c r="K41" s="10" t="str">
        <f aca="false">IF(A41="","",IF(E41="","à noter",IF(OR(E41&lt;0,E41&gt;10),"hors échelle",IF(AND(F41&lt;&gt;"",F41&gt;E41),"min &gt; valeur",IF(AND(G41&lt;&gt;"",G41&lt;E41),"max &lt; valeur",IF(J41="","sans source","ok"))))))</f>
        <v>à noter</v>
      </c>
    </row>
    <row r="42" customFormat="false" ht="15" hidden="false" customHeight="false" outlineLevel="0" collapsed="false">
      <c r="A42" s="8" t="s">
        <v>66</v>
      </c>
      <c r="B42" s="8" t="s">
        <v>314</v>
      </c>
      <c r="C42" s="10" t="str">
        <f aca="false">IFERROR(INDEX(Criteres!$A$2:$A$1000,MATCH(B42,Criteres!$B$2:$B$1000,0)),"")</f>
        <v>economie</v>
      </c>
      <c r="D42" s="8" t="s">
        <v>324</v>
      </c>
      <c r="E42" s="9"/>
      <c r="F42" s="9"/>
      <c r="G42" s="9"/>
      <c r="H42" s="9"/>
      <c r="I42" s="9"/>
      <c r="J42" s="9"/>
      <c r="K42" s="10" t="str">
        <f aca="false">IF(A42="","",IF(E42="","à noter",IF(OR(E42&lt;0,E42&gt;10),"hors échelle",IF(AND(F42&lt;&gt;"",F42&gt;E42),"min &gt; valeur",IF(AND(G42&lt;&gt;"",G42&lt;E42),"max &lt; valeur",IF(J42="","sans source","ok"))))))</f>
        <v>à noter</v>
      </c>
    </row>
    <row r="43" customFormat="false" ht="15" hidden="false" customHeight="false" outlineLevel="0" collapsed="false">
      <c r="A43" s="8" t="s">
        <v>66</v>
      </c>
      <c r="B43" s="8" t="s">
        <v>315</v>
      </c>
      <c r="C43" s="10" t="str">
        <f aca="false">IFERROR(INDEX(Criteres!$A$2:$A$1000,MATCH(B43,Criteres!$B$2:$B$1000,0)),"")</f>
        <v>economie</v>
      </c>
      <c r="D43" s="8" t="s">
        <v>324</v>
      </c>
      <c r="E43" s="9"/>
      <c r="F43" s="9"/>
      <c r="G43" s="9"/>
      <c r="H43" s="9"/>
      <c r="I43" s="9"/>
      <c r="J43" s="9"/>
      <c r="K43" s="10" t="str">
        <f aca="false">IF(A43="","",IF(E43="","à noter",IF(OR(E43&lt;0,E43&gt;10),"hors échelle",IF(AND(F43&lt;&gt;"",F43&gt;E43),"min &gt; valeur",IF(AND(G43&lt;&gt;"",G43&lt;E43),"max &lt; valeur",IF(J43="","sans source","ok"))))))</f>
        <v>à noter</v>
      </c>
    </row>
    <row r="44" customFormat="false" ht="15" hidden="false" customHeight="false" outlineLevel="0" collapsed="false">
      <c r="A44" s="8" t="s">
        <v>80</v>
      </c>
      <c r="B44" s="8" t="s">
        <v>309</v>
      </c>
      <c r="C44" s="10" t="str">
        <f aca="false">IFERROR(INDEX(Criteres!$A$2:$A$1000,MATCH(B44,Criteres!$B$2:$B$1000,0)),"")</f>
        <v>economie</v>
      </c>
      <c r="D44" s="8" t="s">
        <v>324</v>
      </c>
      <c r="E44" s="9"/>
      <c r="F44" s="9"/>
      <c r="G44" s="9"/>
      <c r="H44" s="9"/>
      <c r="I44" s="9"/>
      <c r="J44" s="9"/>
      <c r="K44" s="10" t="str">
        <f aca="false">IF(A44="","",IF(E44="","à noter",IF(OR(E44&lt;0,E44&gt;10),"hors échelle",IF(AND(F44&lt;&gt;"",F44&gt;E44),"min &gt; valeur",IF(AND(G44&lt;&gt;"",G44&lt;E44),"max &lt; valeur",IF(J44="","sans source","ok"))))))</f>
        <v>à noter</v>
      </c>
    </row>
    <row r="45" customFormat="false" ht="15" hidden="false" customHeight="false" outlineLevel="0" collapsed="false">
      <c r="A45" s="8" t="s">
        <v>80</v>
      </c>
      <c r="B45" s="8" t="s">
        <v>310</v>
      </c>
      <c r="C45" s="10" t="str">
        <f aca="false">IFERROR(INDEX(Criteres!$A$2:$A$1000,MATCH(B45,Criteres!$B$2:$B$1000,0)),"")</f>
        <v>economie</v>
      </c>
      <c r="D45" s="8" t="s">
        <v>324</v>
      </c>
      <c r="E45" s="9"/>
      <c r="F45" s="9"/>
      <c r="G45" s="9"/>
      <c r="H45" s="9"/>
      <c r="I45" s="9"/>
      <c r="J45" s="9"/>
      <c r="K45" s="10" t="str">
        <f aca="false">IF(A45="","",IF(E45="","à noter",IF(OR(E45&lt;0,E45&gt;10),"hors échelle",IF(AND(F45&lt;&gt;"",F45&gt;E45),"min &gt; valeur",IF(AND(G45&lt;&gt;"",G45&lt;E45),"max &lt; valeur",IF(J45="","sans source","ok"))))))</f>
        <v>à noter</v>
      </c>
    </row>
    <row r="46" customFormat="false" ht="15" hidden="false" customHeight="false" outlineLevel="0" collapsed="false">
      <c r="A46" s="8" t="s">
        <v>80</v>
      </c>
      <c r="B46" s="8" t="s">
        <v>311</v>
      </c>
      <c r="C46" s="10" t="str">
        <f aca="false">IFERROR(INDEX(Criteres!$A$2:$A$1000,MATCH(B46,Criteres!$B$2:$B$1000,0)),"")</f>
        <v>economie</v>
      </c>
      <c r="D46" s="8" t="s">
        <v>324</v>
      </c>
      <c r="E46" s="9"/>
      <c r="F46" s="9"/>
      <c r="G46" s="9"/>
      <c r="H46" s="9"/>
      <c r="I46" s="9"/>
      <c r="J46" s="9"/>
      <c r="K46" s="10" t="str">
        <f aca="false">IF(A46="","",IF(E46="","à noter",IF(OR(E46&lt;0,E46&gt;10),"hors échelle",IF(AND(F46&lt;&gt;"",F46&gt;E46),"min &gt; valeur",IF(AND(G46&lt;&gt;"",G46&lt;E46),"max &lt; valeur",IF(J46="","sans source","ok"))))))</f>
        <v>à noter</v>
      </c>
    </row>
    <row r="47" customFormat="false" ht="15" hidden="false" customHeight="false" outlineLevel="0" collapsed="false">
      <c r="A47" s="8" t="s">
        <v>80</v>
      </c>
      <c r="B47" s="8" t="s">
        <v>312</v>
      </c>
      <c r="C47" s="10" t="str">
        <f aca="false">IFERROR(INDEX(Criteres!$A$2:$A$1000,MATCH(B47,Criteres!$B$2:$B$1000,0)),"")</f>
        <v>economie</v>
      </c>
      <c r="D47" s="8" t="s">
        <v>324</v>
      </c>
      <c r="E47" s="9"/>
      <c r="F47" s="9"/>
      <c r="G47" s="9"/>
      <c r="H47" s="9"/>
      <c r="I47" s="9"/>
      <c r="J47" s="9"/>
      <c r="K47" s="10" t="str">
        <f aca="false">IF(A47="","",IF(E47="","à noter",IF(OR(E47&lt;0,E47&gt;10),"hors échelle",IF(AND(F47&lt;&gt;"",F47&gt;E47),"min &gt; valeur",IF(AND(G47&lt;&gt;"",G47&lt;E47),"max &lt; valeur",IF(J47="","sans source","ok"))))))</f>
        <v>à noter</v>
      </c>
    </row>
    <row r="48" customFormat="false" ht="15" hidden="false" customHeight="false" outlineLevel="0" collapsed="false">
      <c r="A48" s="8" t="s">
        <v>80</v>
      </c>
      <c r="B48" s="8" t="s">
        <v>313</v>
      </c>
      <c r="C48" s="10" t="str">
        <f aca="false">IFERROR(INDEX(Criteres!$A$2:$A$1000,MATCH(B48,Criteres!$B$2:$B$1000,0)),"")</f>
        <v>economie</v>
      </c>
      <c r="D48" s="8" t="s">
        <v>324</v>
      </c>
      <c r="E48" s="9"/>
      <c r="F48" s="9"/>
      <c r="G48" s="9"/>
      <c r="H48" s="9"/>
      <c r="I48" s="9"/>
      <c r="J48" s="9"/>
      <c r="K48" s="10" t="str">
        <f aca="false">IF(A48="","",IF(E48="","à noter",IF(OR(E48&lt;0,E48&gt;10),"hors échelle",IF(AND(F48&lt;&gt;"",F48&gt;E48),"min &gt; valeur",IF(AND(G48&lt;&gt;"",G48&lt;E48),"max &lt; valeur",IF(J48="","sans source","ok"))))))</f>
        <v>à noter</v>
      </c>
    </row>
    <row r="49" customFormat="false" ht="15" hidden="false" customHeight="false" outlineLevel="0" collapsed="false">
      <c r="A49" s="8" t="s">
        <v>80</v>
      </c>
      <c r="B49" s="8" t="s">
        <v>314</v>
      </c>
      <c r="C49" s="10" t="str">
        <f aca="false">IFERROR(INDEX(Criteres!$A$2:$A$1000,MATCH(B49,Criteres!$B$2:$B$1000,0)),"")</f>
        <v>economie</v>
      </c>
      <c r="D49" s="8" t="s">
        <v>324</v>
      </c>
      <c r="E49" s="9"/>
      <c r="F49" s="9"/>
      <c r="G49" s="9"/>
      <c r="H49" s="9"/>
      <c r="I49" s="9"/>
      <c r="J49" s="9"/>
      <c r="K49" s="10" t="str">
        <f aca="false">IF(A49="","",IF(E49="","à noter",IF(OR(E49&lt;0,E49&gt;10),"hors échelle",IF(AND(F49&lt;&gt;"",F49&gt;E49),"min &gt; valeur",IF(AND(G49&lt;&gt;"",G49&lt;E49),"max &lt; valeur",IF(J49="","sans source","ok"))))))</f>
        <v>à noter</v>
      </c>
    </row>
    <row r="50" customFormat="false" ht="15" hidden="false" customHeight="false" outlineLevel="0" collapsed="false">
      <c r="A50" s="8" t="s">
        <v>80</v>
      </c>
      <c r="B50" s="8" t="s">
        <v>315</v>
      </c>
      <c r="C50" s="10" t="str">
        <f aca="false">IFERROR(INDEX(Criteres!$A$2:$A$1000,MATCH(B50,Criteres!$B$2:$B$1000,0)),"")</f>
        <v>economie</v>
      </c>
      <c r="D50" s="8" t="s">
        <v>324</v>
      </c>
      <c r="E50" s="9"/>
      <c r="F50" s="9"/>
      <c r="G50" s="9"/>
      <c r="H50" s="9"/>
      <c r="I50" s="9"/>
      <c r="J50" s="9"/>
      <c r="K50" s="10" t="str">
        <f aca="false">IF(A50="","",IF(E50="","à noter",IF(OR(E50&lt;0,E50&gt;10),"hors échelle",IF(AND(F50&lt;&gt;"",F50&gt;E50),"min &gt; valeur",IF(AND(G50&lt;&gt;"",G50&lt;E50),"max &lt; valeur",IF(J50="","sans source","ok"))))))</f>
        <v>à noter</v>
      </c>
    </row>
    <row r="51" customFormat="false" ht="15" hidden="false" customHeight="false" outlineLevel="0" collapsed="false">
      <c r="A51" s="8" t="s">
        <v>122</v>
      </c>
      <c r="B51" s="8" t="s">
        <v>309</v>
      </c>
      <c r="C51" s="10" t="str">
        <f aca="false">IFERROR(INDEX(Criteres!$A$2:$A$1000,MATCH(B51,Criteres!$B$2:$B$1000,0)),"")</f>
        <v>economie</v>
      </c>
      <c r="D51" s="8" t="s">
        <v>324</v>
      </c>
      <c r="E51" s="9"/>
      <c r="F51" s="9"/>
      <c r="G51" s="9"/>
      <c r="H51" s="9"/>
      <c r="I51" s="9"/>
      <c r="J51" s="9"/>
      <c r="K51" s="10" t="str">
        <f aca="false">IF(A51="","",IF(E51="","à noter",IF(OR(E51&lt;0,E51&gt;10),"hors échelle",IF(AND(F51&lt;&gt;"",F51&gt;E51),"min &gt; valeur",IF(AND(G51&lt;&gt;"",G51&lt;E51),"max &lt; valeur",IF(J51="","sans source","ok"))))))</f>
        <v>à noter</v>
      </c>
    </row>
    <row r="52" customFormat="false" ht="15" hidden="false" customHeight="false" outlineLevel="0" collapsed="false">
      <c r="A52" s="8" t="s">
        <v>122</v>
      </c>
      <c r="B52" s="8" t="s">
        <v>310</v>
      </c>
      <c r="C52" s="10" t="str">
        <f aca="false">IFERROR(INDEX(Criteres!$A$2:$A$1000,MATCH(B52,Criteres!$B$2:$B$1000,0)),"")</f>
        <v>economie</v>
      </c>
      <c r="D52" s="8" t="s">
        <v>324</v>
      </c>
      <c r="E52" s="9"/>
      <c r="F52" s="9"/>
      <c r="G52" s="9"/>
      <c r="H52" s="9"/>
      <c r="I52" s="9"/>
      <c r="J52" s="9"/>
      <c r="K52" s="10" t="str">
        <f aca="false">IF(A52="","",IF(E52="","à noter",IF(OR(E52&lt;0,E52&gt;10),"hors échelle",IF(AND(F52&lt;&gt;"",F52&gt;E52),"min &gt; valeur",IF(AND(G52&lt;&gt;"",G52&lt;E52),"max &lt; valeur",IF(J52="","sans source","ok"))))))</f>
        <v>à noter</v>
      </c>
    </row>
    <row r="53" customFormat="false" ht="15" hidden="false" customHeight="false" outlineLevel="0" collapsed="false">
      <c r="A53" s="8" t="s">
        <v>122</v>
      </c>
      <c r="B53" s="8" t="s">
        <v>311</v>
      </c>
      <c r="C53" s="10" t="str">
        <f aca="false">IFERROR(INDEX(Criteres!$A$2:$A$1000,MATCH(B53,Criteres!$B$2:$B$1000,0)),"")</f>
        <v>economie</v>
      </c>
      <c r="D53" s="8" t="s">
        <v>324</v>
      </c>
      <c r="E53" s="9"/>
      <c r="F53" s="9"/>
      <c r="G53" s="9"/>
      <c r="H53" s="9"/>
      <c r="I53" s="9"/>
      <c r="J53" s="9"/>
      <c r="K53" s="10" t="str">
        <f aca="false">IF(A53="","",IF(E53="","à noter",IF(OR(E53&lt;0,E53&gt;10),"hors échelle",IF(AND(F53&lt;&gt;"",F53&gt;E53),"min &gt; valeur",IF(AND(G53&lt;&gt;"",G53&lt;E53),"max &lt; valeur",IF(J53="","sans source","ok"))))))</f>
        <v>à noter</v>
      </c>
    </row>
    <row r="54" customFormat="false" ht="15" hidden="false" customHeight="false" outlineLevel="0" collapsed="false">
      <c r="A54" s="8" t="s">
        <v>122</v>
      </c>
      <c r="B54" s="8" t="s">
        <v>312</v>
      </c>
      <c r="C54" s="10" t="str">
        <f aca="false">IFERROR(INDEX(Criteres!$A$2:$A$1000,MATCH(B54,Criteres!$B$2:$B$1000,0)),"")</f>
        <v>economie</v>
      </c>
      <c r="D54" s="8" t="s">
        <v>324</v>
      </c>
      <c r="E54" s="9"/>
      <c r="F54" s="9"/>
      <c r="G54" s="9"/>
      <c r="H54" s="9"/>
      <c r="I54" s="9"/>
      <c r="J54" s="9"/>
      <c r="K54" s="10" t="str">
        <f aca="false">IF(A54="","",IF(E54="","à noter",IF(OR(E54&lt;0,E54&gt;10),"hors échelle",IF(AND(F54&lt;&gt;"",F54&gt;E54),"min &gt; valeur",IF(AND(G54&lt;&gt;"",G54&lt;E54),"max &lt; valeur",IF(J54="","sans source","ok"))))))</f>
        <v>à noter</v>
      </c>
    </row>
    <row r="55" customFormat="false" ht="15" hidden="false" customHeight="false" outlineLevel="0" collapsed="false">
      <c r="A55" s="8" t="s">
        <v>122</v>
      </c>
      <c r="B55" s="8" t="s">
        <v>313</v>
      </c>
      <c r="C55" s="10" t="str">
        <f aca="false">IFERROR(INDEX(Criteres!$A$2:$A$1000,MATCH(B55,Criteres!$B$2:$B$1000,0)),"")</f>
        <v>economie</v>
      </c>
      <c r="D55" s="8" t="s">
        <v>324</v>
      </c>
      <c r="E55" s="9"/>
      <c r="F55" s="9"/>
      <c r="G55" s="9"/>
      <c r="H55" s="9"/>
      <c r="I55" s="9"/>
      <c r="J55" s="9"/>
      <c r="K55" s="10" t="str">
        <f aca="false">IF(A55="","",IF(E55="","à noter",IF(OR(E55&lt;0,E55&gt;10),"hors échelle",IF(AND(F55&lt;&gt;"",F55&gt;E55),"min &gt; valeur",IF(AND(G55&lt;&gt;"",G55&lt;E55),"max &lt; valeur",IF(J55="","sans source","ok"))))))</f>
        <v>à noter</v>
      </c>
    </row>
    <row r="56" customFormat="false" ht="15" hidden="false" customHeight="false" outlineLevel="0" collapsed="false">
      <c r="A56" s="8" t="s">
        <v>122</v>
      </c>
      <c r="B56" s="8" t="s">
        <v>314</v>
      </c>
      <c r="C56" s="10" t="str">
        <f aca="false">IFERROR(INDEX(Criteres!$A$2:$A$1000,MATCH(B56,Criteres!$B$2:$B$1000,0)),"")</f>
        <v>economie</v>
      </c>
      <c r="D56" s="8" t="s">
        <v>324</v>
      </c>
      <c r="E56" s="9"/>
      <c r="F56" s="9"/>
      <c r="G56" s="9"/>
      <c r="H56" s="9"/>
      <c r="I56" s="9"/>
      <c r="J56" s="9"/>
      <c r="K56" s="10" t="str">
        <f aca="false">IF(A56="","",IF(E56="","à noter",IF(OR(E56&lt;0,E56&gt;10),"hors échelle",IF(AND(F56&lt;&gt;"",F56&gt;E56),"min &gt; valeur",IF(AND(G56&lt;&gt;"",G56&lt;E56),"max &lt; valeur",IF(J56="","sans source","ok"))))))</f>
        <v>à noter</v>
      </c>
    </row>
    <row r="57" customFormat="false" ht="15" hidden="false" customHeight="false" outlineLevel="0" collapsed="false">
      <c r="A57" s="8" t="s">
        <v>122</v>
      </c>
      <c r="B57" s="8" t="s">
        <v>315</v>
      </c>
      <c r="C57" s="10" t="str">
        <f aca="false">IFERROR(INDEX(Criteres!$A$2:$A$1000,MATCH(B57,Criteres!$B$2:$B$1000,0)),"")</f>
        <v>economie</v>
      </c>
      <c r="D57" s="8" t="s">
        <v>324</v>
      </c>
      <c r="E57" s="9"/>
      <c r="F57" s="9"/>
      <c r="G57" s="9"/>
      <c r="H57" s="9"/>
      <c r="I57" s="9"/>
      <c r="J57" s="9"/>
      <c r="K57" s="10" t="str">
        <f aca="false">IF(A57="","",IF(E57="","à noter",IF(OR(E57&lt;0,E57&gt;10),"hors échelle",IF(AND(F57&lt;&gt;"",F57&gt;E57),"min &gt; valeur",IF(AND(G57&lt;&gt;"",G57&lt;E57),"max &lt; valeur",IF(J57="","sans source","ok"))))))</f>
        <v>à noter</v>
      </c>
    </row>
    <row r="58" customFormat="false" ht="15" hidden="false" customHeight="false" outlineLevel="0" collapsed="false">
      <c r="A58" s="8" t="s">
        <v>147</v>
      </c>
      <c r="B58" s="8" t="s">
        <v>309</v>
      </c>
      <c r="C58" s="10" t="str">
        <f aca="false">IFERROR(INDEX(Criteres!$A$2:$A$1000,MATCH(B58,Criteres!$B$2:$B$1000,0)),"")</f>
        <v>economie</v>
      </c>
      <c r="D58" s="8" t="s">
        <v>324</v>
      </c>
      <c r="E58" s="9"/>
      <c r="F58" s="9"/>
      <c r="G58" s="9"/>
      <c r="H58" s="9"/>
      <c r="I58" s="9"/>
      <c r="J58" s="9"/>
      <c r="K58" s="10" t="str">
        <f aca="false">IF(A58="","",IF(E58="","à noter",IF(OR(E58&lt;0,E58&gt;10),"hors échelle",IF(AND(F58&lt;&gt;"",F58&gt;E58),"min &gt; valeur",IF(AND(G58&lt;&gt;"",G58&lt;E58),"max &lt; valeur",IF(J58="","sans source","ok"))))))</f>
        <v>à noter</v>
      </c>
    </row>
    <row r="59" customFormat="false" ht="15" hidden="false" customHeight="false" outlineLevel="0" collapsed="false">
      <c r="A59" s="8" t="s">
        <v>147</v>
      </c>
      <c r="B59" s="8" t="s">
        <v>310</v>
      </c>
      <c r="C59" s="10" t="str">
        <f aca="false">IFERROR(INDEX(Criteres!$A$2:$A$1000,MATCH(B59,Criteres!$B$2:$B$1000,0)),"")</f>
        <v>economie</v>
      </c>
      <c r="D59" s="8" t="s">
        <v>324</v>
      </c>
      <c r="E59" s="9"/>
      <c r="F59" s="9"/>
      <c r="G59" s="9"/>
      <c r="H59" s="9"/>
      <c r="I59" s="9"/>
      <c r="J59" s="9"/>
      <c r="K59" s="10" t="str">
        <f aca="false">IF(A59="","",IF(E59="","à noter",IF(OR(E59&lt;0,E59&gt;10),"hors échelle",IF(AND(F59&lt;&gt;"",F59&gt;E59),"min &gt; valeur",IF(AND(G59&lt;&gt;"",G59&lt;E59),"max &lt; valeur",IF(J59="","sans source","ok"))))))</f>
        <v>à noter</v>
      </c>
    </row>
    <row r="60" customFormat="false" ht="15" hidden="false" customHeight="false" outlineLevel="0" collapsed="false">
      <c r="A60" s="8" t="s">
        <v>147</v>
      </c>
      <c r="B60" s="8" t="s">
        <v>311</v>
      </c>
      <c r="C60" s="10" t="str">
        <f aca="false">IFERROR(INDEX(Criteres!$A$2:$A$1000,MATCH(B60,Criteres!$B$2:$B$1000,0)),"")</f>
        <v>economie</v>
      </c>
      <c r="D60" s="8" t="s">
        <v>324</v>
      </c>
      <c r="E60" s="9"/>
      <c r="F60" s="9"/>
      <c r="G60" s="9"/>
      <c r="H60" s="9"/>
      <c r="I60" s="9"/>
      <c r="J60" s="9"/>
      <c r="K60" s="10" t="str">
        <f aca="false">IF(A60="","",IF(E60="","à noter",IF(OR(E60&lt;0,E60&gt;10),"hors échelle",IF(AND(F60&lt;&gt;"",F60&gt;E60),"min &gt; valeur",IF(AND(G60&lt;&gt;"",G60&lt;E60),"max &lt; valeur",IF(J60="","sans source","ok"))))))</f>
        <v>à noter</v>
      </c>
    </row>
    <row r="61" customFormat="false" ht="15" hidden="false" customHeight="false" outlineLevel="0" collapsed="false">
      <c r="A61" s="8" t="s">
        <v>147</v>
      </c>
      <c r="B61" s="8" t="s">
        <v>312</v>
      </c>
      <c r="C61" s="10" t="str">
        <f aca="false">IFERROR(INDEX(Criteres!$A$2:$A$1000,MATCH(B61,Criteres!$B$2:$B$1000,0)),"")</f>
        <v>economie</v>
      </c>
      <c r="D61" s="8" t="s">
        <v>324</v>
      </c>
      <c r="E61" s="9"/>
      <c r="F61" s="9"/>
      <c r="G61" s="9"/>
      <c r="H61" s="9"/>
      <c r="I61" s="9"/>
      <c r="J61" s="9"/>
      <c r="K61" s="10" t="str">
        <f aca="false">IF(A61="","",IF(E61="","à noter",IF(OR(E61&lt;0,E61&gt;10),"hors échelle",IF(AND(F61&lt;&gt;"",F61&gt;E61),"min &gt; valeur",IF(AND(G61&lt;&gt;"",G61&lt;E61),"max &lt; valeur",IF(J61="","sans source","ok"))))))</f>
        <v>à noter</v>
      </c>
    </row>
    <row r="62" customFormat="false" ht="15" hidden="false" customHeight="false" outlineLevel="0" collapsed="false">
      <c r="A62" s="8" t="s">
        <v>147</v>
      </c>
      <c r="B62" s="8" t="s">
        <v>313</v>
      </c>
      <c r="C62" s="10" t="str">
        <f aca="false">IFERROR(INDEX(Criteres!$A$2:$A$1000,MATCH(B62,Criteres!$B$2:$B$1000,0)),"")</f>
        <v>economie</v>
      </c>
      <c r="D62" s="8" t="s">
        <v>324</v>
      </c>
      <c r="E62" s="9"/>
      <c r="F62" s="9"/>
      <c r="G62" s="9"/>
      <c r="H62" s="9"/>
      <c r="I62" s="9"/>
      <c r="J62" s="9"/>
      <c r="K62" s="10" t="str">
        <f aca="false">IF(A62="","",IF(E62="","à noter",IF(OR(E62&lt;0,E62&gt;10),"hors échelle",IF(AND(F62&lt;&gt;"",F62&gt;E62),"min &gt; valeur",IF(AND(G62&lt;&gt;"",G62&lt;E62),"max &lt; valeur",IF(J62="","sans source","ok"))))))</f>
        <v>à noter</v>
      </c>
    </row>
    <row r="63" customFormat="false" ht="15" hidden="false" customHeight="false" outlineLevel="0" collapsed="false">
      <c r="A63" s="8" t="s">
        <v>147</v>
      </c>
      <c r="B63" s="8" t="s">
        <v>314</v>
      </c>
      <c r="C63" s="10" t="str">
        <f aca="false">IFERROR(INDEX(Criteres!$A$2:$A$1000,MATCH(B63,Criteres!$B$2:$B$1000,0)),"")</f>
        <v>economie</v>
      </c>
      <c r="D63" s="8" t="s">
        <v>324</v>
      </c>
      <c r="E63" s="9"/>
      <c r="F63" s="9"/>
      <c r="G63" s="9"/>
      <c r="H63" s="9"/>
      <c r="I63" s="9"/>
      <c r="J63" s="9"/>
      <c r="K63" s="10" t="str">
        <f aca="false">IF(A63="","",IF(E63="","à noter",IF(OR(E63&lt;0,E63&gt;10),"hors échelle",IF(AND(F63&lt;&gt;"",F63&gt;E63),"min &gt; valeur",IF(AND(G63&lt;&gt;"",G63&lt;E63),"max &lt; valeur",IF(J63="","sans source","ok"))))))</f>
        <v>à noter</v>
      </c>
    </row>
    <row r="64" customFormat="false" ht="15" hidden="false" customHeight="false" outlineLevel="0" collapsed="false">
      <c r="A64" s="8" t="s">
        <v>147</v>
      </c>
      <c r="B64" s="8" t="s">
        <v>315</v>
      </c>
      <c r="C64" s="10" t="str">
        <f aca="false">IFERROR(INDEX(Criteres!$A$2:$A$1000,MATCH(B64,Criteres!$B$2:$B$1000,0)),"")</f>
        <v>economie</v>
      </c>
      <c r="D64" s="8" t="s">
        <v>324</v>
      </c>
      <c r="E64" s="9"/>
      <c r="F64" s="9"/>
      <c r="G64" s="9"/>
      <c r="H64" s="9"/>
      <c r="I64" s="9"/>
      <c r="J64" s="9"/>
      <c r="K64" s="10" t="str">
        <f aca="false">IF(A64="","",IF(E64="","à noter",IF(OR(E64&lt;0,E64&gt;10),"hors échelle",IF(AND(F64&lt;&gt;"",F64&gt;E64),"min &gt; valeur",IF(AND(G64&lt;&gt;"",G64&lt;E64),"max &lt; valeur",IF(J64="","sans source","ok"))))))</f>
        <v>à noter</v>
      </c>
    </row>
    <row r="65" customFormat="false" ht="15" hidden="false" customHeight="false" outlineLevel="0" collapsed="false">
      <c r="A65" s="8" t="s">
        <v>160</v>
      </c>
      <c r="B65" s="8" t="s">
        <v>309</v>
      </c>
      <c r="C65" s="10" t="str">
        <f aca="false">IFERROR(INDEX(Criteres!$A$2:$A$1000,MATCH(B65,Criteres!$B$2:$B$1000,0)),"")</f>
        <v>economie</v>
      </c>
      <c r="D65" s="8" t="s">
        <v>324</v>
      </c>
      <c r="E65" s="9"/>
      <c r="F65" s="9"/>
      <c r="G65" s="9"/>
      <c r="H65" s="9"/>
      <c r="I65" s="9"/>
      <c r="J65" s="9"/>
      <c r="K65" s="10" t="str">
        <f aca="false">IF(A65="","",IF(E65="","à noter",IF(OR(E65&lt;0,E65&gt;10),"hors échelle",IF(AND(F65&lt;&gt;"",F65&gt;E65),"min &gt; valeur",IF(AND(G65&lt;&gt;"",G65&lt;E65),"max &lt; valeur",IF(J65="","sans source","ok"))))))</f>
        <v>à noter</v>
      </c>
    </row>
    <row r="66" customFormat="false" ht="15" hidden="false" customHeight="false" outlineLevel="0" collapsed="false">
      <c r="A66" s="8" t="s">
        <v>160</v>
      </c>
      <c r="B66" s="8" t="s">
        <v>310</v>
      </c>
      <c r="C66" s="10" t="str">
        <f aca="false">IFERROR(INDEX(Criteres!$A$2:$A$1000,MATCH(B66,Criteres!$B$2:$B$1000,0)),"")</f>
        <v>economie</v>
      </c>
      <c r="D66" s="8" t="s">
        <v>324</v>
      </c>
      <c r="E66" s="9"/>
      <c r="F66" s="9"/>
      <c r="G66" s="9"/>
      <c r="H66" s="9"/>
      <c r="I66" s="9"/>
      <c r="J66" s="9"/>
      <c r="K66" s="10" t="str">
        <f aca="false">IF(A66="","",IF(E66="","à noter",IF(OR(E66&lt;0,E66&gt;10),"hors échelle",IF(AND(F66&lt;&gt;"",F66&gt;E66),"min &gt; valeur",IF(AND(G66&lt;&gt;"",G66&lt;E66),"max &lt; valeur",IF(J66="","sans source","ok"))))))</f>
        <v>à noter</v>
      </c>
    </row>
    <row r="67" customFormat="false" ht="15" hidden="false" customHeight="false" outlineLevel="0" collapsed="false">
      <c r="A67" s="8" t="s">
        <v>160</v>
      </c>
      <c r="B67" s="8" t="s">
        <v>311</v>
      </c>
      <c r="C67" s="10" t="str">
        <f aca="false">IFERROR(INDEX(Criteres!$A$2:$A$1000,MATCH(B67,Criteres!$B$2:$B$1000,0)),"")</f>
        <v>economie</v>
      </c>
      <c r="D67" s="8" t="s">
        <v>324</v>
      </c>
      <c r="E67" s="9"/>
      <c r="F67" s="9"/>
      <c r="G67" s="9"/>
      <c r="H67" s="9"/>
      <c r="I67" s="9"/>
      <c r="J67" s="9"/>
      <c r="K67" s="10" t="str">
        <f aca="false">IF(A67="","",IF(E67="","à noter",IF(OR(E67&lt;0,E67&gt;10),"hors échelle",IF(AND(F67&lt;&gt;"",F67&gt;E67),"min &gt; valeur",IF(AND(G67&lt;&gt;"",G67&lt;E67),"max &lt; valeur",IF(J67="","sans source","ok"))))))</f>
        <v>à noter</v>
      </c>
    </row>
    <row r="68" customFormat="false" ht="15" hidden="false" customHeight="false" outlineLevel="0" collapsed="false">
      <c r="A68" s="8" t="s">
        <v>160</v>
      </c>
      <c r="B68" s="8" t="s">
        <v>312</v>
      </c>
      <c r="C68" s="10" t="str">
        <f aca="false">IFERROR(INDEX(Criteres!$A$2:$A$1000,MATCH(B68,Criteres!$B$2:$B$1000,0)),"")</f>
        <v>economie</v>
      </c>
      <c r="D68" s="8" t="s">
        <v>324</v>
      </c>
      <c r="E68" s="9"/>
      <c r="F68" s="9"/>
      <c r="G68" s="9"/>
      <c r="H68" s="9"/>
      <c r="I68" s="9"/>
      <c r="J68" s="9"/>
      <c r="K68" s="10" t="str">
        <f aca="false">IF(A68="","",IF(E68="","à noter",IF(OR(E68&lt;0,E68&gt;10),"hors échelle",IF(AND(F68&lt;&gt;"",F68&gt;E68),"min &gt; valeur",IF(AND(G68&lt;&gt;"",G68&lt;E68),"max &lt; valeur",IF(J68="","sans source","ok"))))))</f>
        <v>à noter</v>
      </c>
    </row>
    <row r="69" customFormat="false" ht="15" hidden="false" customHeight="false" outlineLevel="0" collapsed="false">
      <c r="A69" s="8" t="s">
        <v>160</v>
      </c>
      <c r="B69" s="8" t="s">
        <v>313</v>
      </c>
      <c r="C69" s="10" t="str">
        <f aca="false">IFERROR(INDEX(Criteres!$A$2:$A$1000,MATCH(B69,Criteres!$B$2:$B$1000,0)),"")</f>
        <v>economie</v>
      </c>
      <c r="D69" s="8" t="s">
        <v>324</v>
      </c>
      <c r="E69" s="9"/>
      <c r="F69" s="9"/>
      <c r="G69" s="9"/>
      <c r="H69" s="9"/>
      <c r="I69" s="9"/>
      <c r="J69" s="9"/>
      <c r="K69" s="10" t="str">
        <f aca="false">IF(A69="","",IF(E69="","à noter",IF(OR(E69&lt;0,E69&gt;10),"hors échelle",IF(AND(F69&lt;&gt;"",F69&gt;E69),"min &gt; valeur",IF(AND(G69&lt;&gt;"",G69&lt;E69),"max &lt; valeur",IF(J69="","sans source","ok"))))))</f>
        <v>à noter</v>
      </c>
    </row>
    <row r="70" customFormat="false" ht="15" hidden="false" customHeight="false" outlineLevel="0" collapsed="false">
      <c r="A70" s="8" t="s">
        <v>160</v>
      </c>
      <c r="B70" s="8" t="s">
        <v>314</v>
      </c>
      <c r="C70" s="10" t="str">
        <f aca="false">IFERROR(INDEX(Criteres!$A$2:$A$1000,MATCH(B70,Criteres!$B$2:$B$1000,0)),"")</f>
        <v>economie</v>
      </c>
      <c r="D70" s="8" t="s">
        <v>324</v>
      </c>
      <c r="E70" s="9"/>
      <c r="F70" s="9"/>
      <c r="G70" s="9"/>
      <c r="H70" s="9"/>
      <c r="I70" s="9"/>
      <c r="J70" s="9"/>
      <c r="K70" s="10" t="str">
        <f aca="false">IF(A70="","",IF(E70="","à noter",IF(OR(E70&lt;0,E70&gt;10),"hors échelle",IF(AND(F70&lt;&gt;"",F70&gt;E70),"min &gt; valeur",IF(AND(G70&lt;&gt;"",G70&lt;E70),"max &lt; valeur",IF(J70="","sans source","ok"))))))</f>
        <v>à noter</v>
      </c>
    </row>
    <row r="71" customFormat="false" ht="15" hidden="false" customHeight="false" outlineLevel="0" collapsed="false">
      <c r="A71" s="8" t="s">
        <v>160</v>
      </c>
      <c r="B71" s="8" t="s">
        <v>315</v>
      </c>
      <c r="C71" s="10" t="str">
        <f aca="false">IFERROR(INDEX(Criteres!$A$2:$A$1000,MATCH(B71,Criteres!$B$2:$B$1000,0)),"")</f>
        <v>economie</v>
      </c>
      <c r="D71" s="8" t="s">
        <v>324</v>
      </c>
      <c r="E71" s="9"/>
      <c r="F71" s="9"/>
      <c r="G71" s="9"/>
      <c r="H71" s="9"/>
      <c r="I71" s="9"/>
      <c r="J71" s="9"/>
      <c r="K71" s="10" t="str">
        <f aca="false">IF(A71="","",IF(E71="","à noter",IF(OR(E71&lt;0,E71&gt;10),"hors échelle",IF(AND(F71&lt;&gt;"",F71&gt;E71),"min &gt; valeur",IF(AND(G71&lt;&gt;"",G71&lt;E71),"max &lt; valeur",IF(J71="","sans source","ok"))))))</f>
        <v>à noter</v>
      </c>
    </row>
    <row r="72" customFormat="false" ht="15" hidden="false" customHeight="false" outlineLevel="0" collapsed="false">
      <c r="A72" s="8" t="s">
        <v>173</v>
      </c>
      <c r="B72" s="8" t="s">
        <v>309</v>
      </c>
      <c r="C72" s="10" t="str">
        <f aca="false">IFERROR(INDEX(Criteres!$A$2:$A$1000,MATCH(B72,Criteres!$B$2:$B$1000,0)),"")</f>
        <v>economie</v>
      </c>
      <c r="D72" s="8" t="s">
        <v>324</v>
      </c>
      <c r="E72" s="9"/>
      <c r="F72" s="9"/>
      <c r="G72" s="9"/>
      <c r="H72" s="9"/>
      <c r="I72" s="9"/>
      <c r="J72" s="9"/>
      <c r="K72" s="10" t="str">
        <f aca="false">IF(A72="","",IF(E72="","à noter",IF(OR(E72&lt;0,E72&gt;10),"hors échelle",IF(AND(F72&lt;&gt;"",F72&gt;E72),"min &gt; valeur",IF(AND(G72&lt;&gt;"",G72&lt;E72),"max &lt; valeur",IF(J72="","sans source","ok"))))))</f>
        <v>à noter</v>
      </c>
    </row>
    <row r="73" customFormat="false" ht="15" hidden="false" customHeight="false" outlineLevel="0" collapsed="false">
      <c r="A73" s="8" t="s">
        <v>173</v>
      </c>
      <c r="B73" s="8" t="s">
        <v>310</v>
      </c>
      <c r="C73" s="10" t="str">
        <f aca="false">IFERROR(INDEX(Criteres!$A$2:$A$1000,MATCH(B73,Criteres!$B$2:$B$1000,0)),"")</f>
        <v>economie</v>
      </c>
      <c r="D73" s="8" t="s">
        <v>324</v>
      </c>
      <c r="E73" s="9"/>
      <c r="F73" s="9"/>
      <c r="G73" s="9"/>
      <c r="H73" s="9"/>
      <c r="I73" s="9"/>
      <c r="J73" s="9"/>
      <c r="K73" s="10" t="str">
        <f aca="false">IF(A73="","",IF(E73="","à noter",IF(OR(E73&lt;0,E73&gt;10),"hors échelle",IF(AND(F73&lt;&gt;"",F73&gt;E73),"min &gt; valeur",IF(AND(G73&lt;&gt;"",G73&lt;E73),"max &lt; valeur",IF(J73="","sans source","ok"))))))</f>
        <v>à noter</v>
      </c>
    </row>
    <row r="74" customFormat="false" ht="15" hidden="false" customHeight="false" outlineLevel="0" collapsed="false">
      <c r="A74" s="8" t="s">
        <v>173</v>
      </c>
      <c r="B74" s="8" t="s">
        <v>311</v>
      </c>
      <c r="C74" s="10" t="str">
        <f aca="false">IFERROR(INDEX(Criteres!$A$2:$A$1000,MATCH(B74,Criteres!$B$2:$B$1000,0)),"")</f>
        <v>economie</v>
      </c>
      <c r="D74" s="8" t="s">
        <v>324</v>
      </c>
      <c r="E74" s="9"/>
      <c r="F74" s="9"/>
      <c r="G74" s="9"/>
      <c r="H74" s="9"/>
      <c r="I74" s="9"/>
      <c r="J74" s="9"/>
      <c r="K74" s="10" t="str">
        <f aca="false">IF(A74="","",IF(E74="","à noter",IF(OR(E74&lt;0,E74&gt;10),"hors échelle",IF(AND(F74&lt;&gt;"",F74&gt;E74),"min &gt; valeur",IF(AND(G74&lt;&gt;"",G74&lt;E74),"max &lt; valeur",IF(J74="","sans source","ok"))))))</f>
        <v>à noter</v>
      </c>
    </row>
    <row r="75" customFormat="false" ht="15" hidden="false" customHeight="false" outlineLevel="0" collapsed="false">
      <c r="A75" s="8" t="s">
        <v>173</v>
      </c>
      <c r="B75" s="8" t="s">
        <v>312</v>
      </c>
      <c r="C75" s="10" t="str">
        <f aca="false">IFERROR(INDEX(Criteres!$A$2:$A$1000,MATCH(B75,Criteres!$B$2:$B$1000,0)),"")</f>
        <v>economie</v>
      </c>
      <c r="D75" s="8" t="s">
        <v>324</v>
      </c>
      <c r="E75" s="9"/>
      <c r="F75" s="9"/>
      <c r="G75" s="9"/>
      <c r="H75" s="9"/>
      <c r="I75" s="9"/>
      <c r="J75" s="9"/>
      <c r="K75" s="10" t="str">
        <f aca="false">IF(A75="","",IF(E75="","à noter",IF(OR(E75&lt;0,E75&gt;10),"hors échelle",IF(AND(F75&lt;&gt;"",F75&gt;E75),"min &gt; valeur",IF(AND(G75&lt;&gt;"",G75&lt;E75),"max &lt; valeur",IF(J75="","sans source","ok"))))))</f>
        <v>à noter</v>
      </c>
    </row>
    <row r="76" customFormat="false" ht="15" hidden="false" customHeight="false" outlineLevel="0" collapsed="false">
      <c r="A76" s="8" t="s">
        <v>173</v>
      </c>
      <c r="B76" s="8" t="s">
        <v>313</v>
      </c>
      <c r="C76" s="10" t="str">
        <f aca="false">IFERROR(INDEX(Criteres!$A$2:$A$1000,MATCH(B76,Criteres!$B$2:$B$1000,0)),"")</f>
        <v>economie</v>
      </c>
      <c r="D76" s="8" t="s">
        <v>324</v>
      </c>
      <c r="E76" s="9"/>
      <c r="F76" s="9"/>
      <c r="G76" s="9"/>
      <c r="H76" s="9"/>
      <c r="I76" s="9"/>
      <c r="J76" s="9"/>
      <c r="K76" s="10" t="str">
        <f aca="false">IF(A76="","",IF(E76="","à noter",IF(OR(E76&lt;0,E76&gt;10),"hors échelle",IF(AND(F76&lt;&gt;"",F76&gt;E76),"min &gt; valeur",IF(AND(G76&lt;&gt;"",G76&lt;E76),"max &lt; valeur",IF(J76="","sans source","ok"))))))</f>
        <v>à noter</v>
      </c>
    </row>
    <row r="77" customFormat="false" ht="15" hidden="false" customHeight="false" outlineLevel="0" collapsed="false">
      <c r="A77" s="8" t="s">
        <v>173</v>
      </c>
      <c r="B77" s="8" t="s">
        <v>314</v>
      </c>
      <c r="C77" s="10" t="str">
        <f aca="false">IFERROR(INDEX(Criteres!$A$2:$A$1000,MATCH(B77,Criteres!$B$2:$B$1000,0)),"")</f>
        <v>economie</v>
      </c>
      <c r="D77" s="8" t="s">
        <v>324</v>
      </c>
      <c r="E77" s="9"/>
      <c r="F77" s="9"/>
      <c r="G77" s="9"/>
      <c r="H77" s="9"/>
      <c r="I77" s="9"/>
      <c r="J77" s="9"/>
      <c r="K77" s="10" t="str">
        <f aca="false">IF(A77="","",IF(E77="","à noter",IF(OR(E77&lt;0,E77&gt;10),"hors échelle",IF(AND(F77&lt;&gt;"",F77&gt;E77),"min &gt; valeur",IF(AND(G77&lt;&gt;"",G77&lt;E77),"max &lt; valeur",IF(J77="","sans source","ok"))))))</f>
        <v>à noter</v>
      </c>
    </row>
    <row r="78" customFormat="false" ht="15" hidden="false" customHeight="false" outlineLevel="0" collapsed="false">
      <c r="A78" s="8" t="s">
        <v>173</v>
      </c>
      <c r="B78" s="8" t="s">
        <v>315</v>
      </c>
      <c r="C78" s="10" t="str">
        <f aca="false">IFERROR(INDEX(Criteres!$A$2:$A$1000,MATCH(B78,Criteres!$B$2:$B$1000,0)),"")</f>
        <v>economie</v>
      </c>
      <c r="D78" s="8" t="s">
        <v>324</v>
      </c>
      <c r="E78" s="9"/>
      <c r="F78" s="9"/>
      <c r="G78" s="9"/>
      <c r="H78" s="9"/>
      <c r="I78" s="9"/>
      <c r="J78" s="9"/>
      <c r="K78" s="10" t="str">
        <f aca="false">IF(A78="","",IF(E78="","à noter",IF(OR(E78&lt;0,E78&gt;10),"hors échelle",IF(AND(F78&lt;&gt;"",F78&gt;E78),"min &gt; valeur",IF(AND(G78&lt;&gt;"",G78&lt;E78),"max &lt; valeur",IF(J78="","sans source","ok"))))))</f>
        <v>à noter</v>
      </c>
    </row>
    <row r="79" customFormat="false" ht="15" hidden="false" customHeight="false" outlineLevel="0" collapsed="false">
      <c r="A79" s="8" t="s">
        <v>188</v>
      </c>
      <c r="B79" s="8" t="s">
        <v>309</v>
      </c>
      <c r="C79" s="10" t="str">
        <f aca="false">IFERROR(INDEX(Criteres!$A$2:$A$1000,MATCH(B79,Criteres!$B$2:$B$1000,0)),"")</f>
        <v>economie</v>
      </c>
      <c r="D79" s="8" t="s">
        <v>324</v>
      </c>
      <c r="E79" s="9"/>
      <c r="F79" s="9"/>
      <c r="G79" s="9"/>
      <c r="H79" s="9"/>
      <c r="I79" s="9"/>
      <c r="J79" s="9"/>
      <c r="K79" s="10" t="str">
        <f aca="false">IF(A79="","",IF(E79="","à noter",IF(OR(E79&lt;0,E79&gt;10),"hors échelle",IF(AND(F79&lt;&gt;"",F79&gt;E79),"min &gt; valeur",IF(AND(G79&lt;&gt;"",G79&lt;E79),"max &lt; valeur",IF(J79="","sans source","ok"))))))</f>
        <v>à noter</v>
      </c>
    </row>
    <row r="80" customFormat="false" ht="15" hidden="false" customHeight="false" outlineLevel="0" collapsed="false">
      <c r="A80" s="8" t="s">
        <v>188</v>
      </c>
      <c r="B80" s="8" t="s">
        <v>310</v>
      </c>
      <c r="C80" s="10" t="str">
        <f aca="false">IFERROR(INDEX(Criteres!$A$2:$A$1000,MATCH(B80,Criteres!$B$2:$B$1000,0)),"")</f>
        <v>economie</v>
      </c>
      <c r="D80" s="8" t="s">
        <v>324</v>
      </c>
      <c r="E80" s="9"/>
      <c r="F80" s="9"/>
      <c r="G80" s="9"/>
      <c r="H80" s="9"/>
      <c r="I80" s="9"/>
      <c r="J80" s="9"/>
      <c r="K80" s="10" t="str">
        <f aca="false">IF(A80="","",IF(E80="","à noter",IF(OR(E80&lt;0,E80&gt;10),"hors échelle",IF(AND(F80&lt;&gt;"",F80&gt;E80),"min &gt; valeur",IF(AND(G80&lt;&gt;"",G80&lt;E80),"max &lt; valeur",IF(J80="","sans source","ok"))))))</f>
        <v>à noter</v>
      </c>
    </row>
    <row r="81" customFormat="false" ht="15" hidden="false" customHeight="false" outlineLevel="0" collapsed="false">
      <c r="A81" s="8" t="s">
        <v>188</v>
      </c>
      <c r="B81" s="8" t="s">
        <v>311</v>
      </c>
      <c r="C81" s="10" t="str">
        <f aca="false">IFERROR(INDEX(Criteres!$A$2:$A$1000,MATCH(B81,Criteres!$B$2:$B$1000,0)),"")</f>
        <v>economie</v>
      </c>
      <c r="D81" s="8" t="s">
        <v>324</v>
      </c>
      <c r="E81" s="9"/>
      <c r="F81" s="9"/>
      <c r="G81" s="9"/>
      <c r="H81" s="9"/>
      <c r="I81" s="9"/>
      <c r="J81" s="9"/>
      <c r="K81" s="10" t="str">
        <f aca="false">IF(A81="","",IF(E81="","à noter",IF(OR(E81&lt;0,E81&gt;10),"hors échelle",IF(AND(F81&lt;&gt;"",F81&gt;E81),"min &gt; valeur",IF(AND(G81&lt;&gt;"",G81&lt;E81),"max &lt; valeur",IF(J81="","sans source","ok"))))))</f>
        <v>à noter</v>
      </c>
    </row>
    <row r="82" customFormat="false" ht="15" hidden="false" customHeight="false" outlineLevel="0" collapsed="false">
      <c r="A82" s="8" t="s">
        <v>188</v>
      </c>
      <c r="B82" s="8" t="s">
        <v>312</v>
      </c>
      <c r="C82" s="10" t="str">
        <f aca="false">IFERROR(INDEX(Criteres!$A$2:$A$1000,MATCH(B82,Criteres!$B$2:$B$1000,0)),"")</f>
        <v>economie</v>
      </c>
      <c r="D82" s="8" t="s">
        <v>324</v>
      </c>
      <c r="E82" s="9"/>
      <c r="F82" s="9"/>
      <c r="G82" s="9"/>
      <c r="H82" s="9"/>
      <c r="I82" s="9"/>
      <c r="J82" s="9"/>
      <c r="K82" s="10" t="str">
        <f aca="false">IF(A82="","",IF(E82="","à noter",IF(OR(E82&lt;0,E82&gt;10),"hors échelle",IF(AND(F82&lt;&gt;"",F82&gt;E82),"min &gt; valeur",IF(AND(G82&lt;&gt;"",G82&lt;E82),"max &lt; valeur",IF(J82="","sans source","ok"))))))</f>
        <v>à noter</v>
      </c>
    </row>
    <row r="83" customFormat="false" ht="15" hidden="false" customHeight="false" outlineLevel="0" collapsed="false">
      <c r="A83" s="8" t="s">
        <v>188</v>
      </c>
      <c r="B83" s="8" t="s">
        <v>313</v>
      </c>
      <c r="C83" s="10" t="str">
        <f aca="false">IFERROR(INDEX(Criteres!$A$2:$A$1000,MATCH(B83,Criteres!$B$2:$B$1000,0)),"")</f>
        <v>economie</v>
      </c>
      <c r="D83" s="8" t="s">
        <v>324</v>
      </c>
      <c r="E83" s="9"/>
      <c r="F83" s="9"/>
      <c r="G83" s="9"/>
      <c r="H83" s="9"/>
      <c r="I83" s="9"/>
      <c r="J83" s="9"/>
      <c r="K83" s="10" t="str">
        <f aca="false">IF(A83="","",IF(E83="","à noter",IF(OR(E83&lt;0,E83&gt;10),"hors échelle",IF(AND(F83&lt;&gt;"",F83&gt;E83),"min &gt; valeur",IF(AND(G83&lt;&gt;"",G83&lt;E83),"max &lt; valeur",IF(J83="","sans source","ok"))))))</f>
        <v>à noter</v>
      </c>
    </row>
    <row r="84" customFormat="false" ht="15" hidden="false" customHeight="false" outlineLevel="0" collapsed="false">
      <c r="A84" s="8" t="s">
        <v>188</v>
      </c>
      <c r="B84" s="8" t="s">
        <v>314</v>
      </c>
      <c r="C84" s="10" t="str">
        <f aca="false">IFERROR(INDEX(Criteres!$A$2:$A$1000,MATCH(B84,Criteres!$B$2:$B$1000,0)),"")</f>
        <v>economie</v>
      </c>
      <c r="D84" s="8" t="s">
        <v>324</v>
      </c>
      <c r="E84" s="9"/>
      <c r="F84" s="9"/>
      <c r="G84" s="9"/>
      <c r="H84" s="9"/>
      <c r="I84" s="9"/>
      <c r="J84" s="9"/>
      <c r="K84" s="10" t="str">
        <f aca="false">IF(A84="","",IF(E84="","à noter",IF(OR(E84&lt;0,E84&gt;10),"hors échelle",IF(AND(F84&lt;&gt;"",F84&gt;E84),"min &gt; valeur",IF(AND(G84&lt;&gt;"",G84&lt;E84),"max &lt; valeur",IF(J84="","sans source","ok"))))))</f>
        <v>à noter</v>
      </c>
    </row>
    <row r="85" customFormat="false" ht="15" hidden="false" customHeight="false" outlineLevel="0" collapsed="false">
      <c r="A85" s="8" t="s">
        <v>188</v>
      </c>
      <c r="B85" s="8" t="s">
        <v>315</v>
      </c>
      <c r="C85" s="10" t="str">
        <f aca="false">IFERROR(INDEX(Criteres!$A$2:$A$1000,MATCH(B85,Criteres!$B$2:$B$1000,0)),"")</f>
        <v>economie</v>
      </c>
      <c r="D85" s="8" t="s">
        <v>324</v>
      </c>
      <c r="E85" s="9"/>
      <c r="F85" s="9"/>
      <c r="G85" s="9"/>
      <c r="H85" s="9"/>
      <c r="I85" s="9"/>
      <c r="J85" s="9"/>
      <c r="K85" s="10" t="str">
        <f aca="false">IF(A85="","",IF(E85="","à noter",IF(OR(E85&lt;0,E85&gt;10),"hors échelle",IF(AND(F85&lt;&gt;"",F85&gt;E85),"min &gt; valeur",IF(AND(G85&lt;&gt;"",G85&lt;E85),"max &lt; valeur",IF(J85="","sans source","ok"))))))</f>
        <v>à noter</v>
      </c>
    </row>
    <row r="86" customFormat="false" ht="15" hidden="false" customHeight="false" outlineLevel="0" collapsed="false">
      <c r="A86" s="8" t="s">
        <v>203</v>
      </c>
      <c r="B86" s="8" t="s">
        <v>309</v>
      </c>
      <c r="C86" s="10" t="str">
        <f aca="false">IFERROR(INDEX(Criteres!$A$2:$A$1000,MATCH(B86,Criteres!$B$2:$B$1000,0)),"")</f>
        <v>economie</v>
      </c>
      <c r="D86" s="8" t="s">
        <v>324</v>
      </c>
      <c r="E86" s="9"/>
      <c r="F86" s="9"/>
      <c r="G86" s="9"/>
      <c r="H86" s="9"/>
      <c r="I86" s="9"/>
      <c r="J86" s="9"/>
      <c r="K86" s="10" t="str">
        <f aca="false">IF(A86="","",IF(E86="","à noter",IF(OR(E86&lt;0,E86&gt;10),"hors échelle",IF(AND(F86&lt;&gt;"",F86&gt;E86),"min &gt; valeur",IF(AND(G86&lt;&gt;"",G86&lt;E86),"max &lt; valeur",IF(J86="","sans source","ok"))))))</f>
        <v>à noter</v>
      </c>
    </row>
    <row r="87" customFormat="false" ht="15" hidden="false" customHeight="false" outlineLevel="0" collapsed="false">
      <c r="A87" s="8" t="s">
        <v>203</v>
      </c>
      <c r="B87" s="8" t="s">
        <v>310</v>
      </c>
      <c r="C87" s="10" t="str">
        <f aca="false">IFERROR(INDEX(Criteres!$A$2:$A$1000,MATCH(B87,Criteres!$B$2:$B$1000,0)),"")</f>
        <v>economie</v>
      </c>
      <c r="D87" s="8" t="s">
        <v>324</v>
      </c>
      <c r="E87" s="9"/>
      <c r="F87" s="9"/>
      <c r="G87" s="9"/>
      <c r="H87" s="9"/>
      <c r="I87" s="9"/>
      <c r="J87" s="9"/>
      <c r="K87" s="10" t="str">
        <f aca="false">IF(A87="","",IF(E87="","à noter",IF(OR(E87&lt;0,E87&gt;10),"hors échelle",IF(AND(F87&lt;&gt;"",F87&gt;E87),"min &gt; valeur",IF(AND(G87&lt;&gt;"",G87&lt;E87),"max &lt; valeur",IF(J87="","sans source","ok"))))))</f>
        <v>à noter</v>
      </c>
    </row>
    <row r="88" customFormat="false" ht="15" hidden="false" customHeight="false" outlineLevel="0" collapsed="false">
      <c r="A88" s="8" t="s">
        <v>203</v>
      </c>
      <c r="B88" s="8" t="s">
        <v>311</v>
      </c>
      <c r="C88" s="10" t="str">
        <f aca="false">IFERROR(INDEX(Criteres!$A$2:$A$1000,MATCH(B88,Criteres!$B$2:$B$1000,0)),"")</f>
        <v>economie</v>
      </c>
      <c r="D88" s="8" t="s">
        <v>324</v>
      </c>
      <c r="E88" s="9"/>
      <c r="F88" s="9"/>
      <c r="G88" s="9"/>
      <c r="H88" s="9"/>
      <c r="I88" s="9"/>
      <c r="J88" s="9"/>
      <c r="K88" s="10" t="str">
        <f aca="false">IF(A88="","",IF(E88="","à noter",IF(OR(E88&lt;0,E88&gt;10),"hors échelle",IF(AND(F88&lt;&gt;"",F88&gt;E88),"min &gt; valeur",IF(AND(G88&lt;&gt;"",G88&lt;E88),"max &lt; valeur",IF(J88="","sans source","ok"))))))</f>
        <v>à noter</v>
      </c>
    </row>
    <row r="89" customFormat="false" ht="15" hidden="false" customHeight="false" outlineLevel="0" collapsed="false">
      <c r="A89" s="8" t="s">
        <v>203</v>
      </c>
      <c r="B89" s="8" t="s">
        <v>312</v>
      </c>
      <c r="C89" s="10" t="str">
        <f aca="false">IFERROR(INDEX(Criteres!$A$2:$A$1000,MATCH(B89,Criteres!$B$2:$B$1000,0)),"")</f>
        <v>economie</v>
      </c>
      <c r="D89" s="8" t="s">
        <v>324</v>
      </c>
      <c r="E89" s="9"/>
      <c r="F89" s="9"/>
      <c r="G89" s="9"/>
      <c r="H89" s="9"/>
      <c r="I89" s="9"/>
      <c r="J89" s="9"/>
      <c r="K89" s="10" t="str">
        <f aca="false">IF(A89="","",IF(E89="","à noter",IF(OR(E89&lt;0,E89&gt;10),"hors échelle",IF(AND(F89&lt;&gt;"",F89&gt;E89),"min &gt; valeur",IF(AND(G89&lt;&gt;"",G89&lt;E89),"max &lt; valeur",IF(J89="","sans source","ok"))))))</f>
        <v>à noter</v>
      </c>
    </row>
    <row r="90" customFormat="false" ht="15" hidden="false" customHeight="false" outlineLevel="0" collapsed="false">
      <c r="A90" s="8" t="s">
        <v>203</v>
      </c>
      <c r="B90" s="8" t="s">
        <v>313</v>
      </c>
      <c r="C90" s="10" t="str">
        <f aca="false">IFERROR(INDEX(Criteres!$A$2:$A$1000,MATCH(B90,Criteres!$B$2:$B$1000,0)),"")</f>
        <v>economie</v>
      </c>
      <c r="D90" s="8" t="s">
        <v>324</v>
      </c>
      <c r="E90" s="9"/>
      <c r="F90" s="9"/>
      <c r="G90" s="9"/>
      <c r="H90" s="9"/>
      <c r="I90" s="9"/>
      <c r="J90" s="9"/>
      <c r="K90" s="10" t="str">
        <f aca="false">IF(A90="","",IF(E90="","à noter",IF(OR(E90&lt;0,E90&gt;10),"hors échelle",IF(AND(F90&lt;&gt;"",F90&gt;E90),"min &gt; valeur",IF(AND(G90&lt;&gt;"",G90&lt;E90),"max &lt; valeur",IF(J90="","sans source","ok"))))))</f>
        <v>à noter</v>
      </c>
    </row>
    <row r="91" customFormat="false" ht="15" hidden="false" customHeight="false" outlineLevel="0" collapsed="false">
      <c r="A91" s="8" t="s">
        <v>203</v>
      </c>
      <c r="B91" s="8" t="s">
        <v>314</v>
      </c>
      <c r="C91" s="10" t="str">
        <f aca="false">IFERROR(INDEX(Criteres!$A$2:$A$1000,MATCH(B91,Criteres!$B$2:$B$1000,0)),"")</f>
        <v>economie</v>
      </c>
      <c r="D91" s="8" t="s">
        <v>324</v>
      </c>
      <c r="E91" s="9"/>
      <c r="F91" s="9"/>
      <c r="G91" s="9"/>
      <c r="H91" s="9"/>
      <c r="I91" s="9"/>
      <c r="J91" s="9"/>
      <c r="K91" s="10" t="str">
        <f aca="false">IF(A91="","",IF(E91="","à noter",IF(OR(E91&lt;0,E91&gt;10),"hors échelle",IF(AND(F91&lt;&gt;"",F91&gt;E91),"min &gt; valeur",IF(AND(G91&lt;&gt;"",G91&lt;E91),"max &lt; valeur",IF(J91="","sans source","ok"))))))</f>
        <v>à noter</v>
      </c>
    </row>
    <row r="92" customFormat="false" ht="15" hidden="false" customHeight="false" outlineLevel="0" collapsed="false">
      <c r="A92" s="8" t="s">
        <v>203</v>
      </c>
      <c r="B92" s="8" t="s">
        <v>315</v>
      </c>
      <c r="C92" s="10" t="str">
        <f aca="false">IFERROR(INDEX(Criteres!$A$2:$A$1000,MATCH(B92,Criteres!$B$2:$B$1000,0)),"")</f>
        <v>economie</v>
      </c>
      <c r="D92" s="8" t="s">
        <v>324</v>
      </c>
      <c r="E92" s="9"/>
      <c r="F92" s="9"/>
      <c r="G92" s="9"/>
      <c r="H92" s="9"/>
      <c r="I92" s="9"/>
      <c r="J92" s="9"/>
      <c r="K92" s="10" t="str">
        <f aca="false">IF(A92="","",IF(E92="","à noter",IF(OR(E92&lt;0,E92&gt;10),"hors échelle",IF(AND(F92&lt;&gt;"",F92&gt;E92),"min &gt; valeur",IF(AND(G92&lt;&gt;"",G92&lt;E92),"max &lt; valeur",IF(J92="","sans source","ok"))))))</f>
        <v>à noter</v>
      </c>
    </row>
    <row r="93" customFormat="false" ht="15" hidden="false" customHeight="false" outlineLevel="0" collapsed="false">
      <c r="A93" s="8" t="s">
        <v>210</v>
      </c>
      <c r="B93" s="8" t="s">
        <v>309</v>
      </c>
      <c r="C93" s="10" t="str">
        <f aca="false">IFERROR(INDEX(Criteres!$A$2:$A$1000,MATCH(B93,Criteres!$B$2:$B$1000,0)),"")</f>
        <v>economie</v>
      </c>
      <c r="D93" s="8" t="s">
        <v>324</v>
      </c>
      <c r="E93" s="9"/>
      <c r="F93" s="9"/>
      <c r="G93" s="9"/>
      <c r="H93" s="9"/>
      <c r="I93" s="9"/>
      <c r="J93" s="9"/>
      <c r="K93" s="10" t="str">
        <f aca="false">IF(A93="","",IF(E93="","à noter",IF(OR(E93&lt;0,E93&gt;10),"hors échelle",IF(AND(F93&lt;&gt;"",F93&gt;E93),"min &gt; valeur",IF(AND(G93&lt;&gt;"",G93&lt;E93),"max &lt; valeur",IF(J93="","sans source","ok"))))))</f>
        <v>à noter</v>
      </c>
    </row>
    <row r="94" customFormat="false" ht="15" hidden="false" customHeight="false" outlineLevel="0" collapsed="false">
      <c r="A94" s="8" t="s">
        <v>210</v>
      </c>
      <c r="B94" s="8" t="s">
        <v>310</v>
      </c>
      <c r="C94" s="10" t="str">
        <f aca="false">IFERROR(INDEX(Criteres!$A$2:$A$1000,MATCH(B94,Criteres!$B$2:$B$1000,0)),"")</f>
        <v>economie</v>
      </c>
      <c r="D94" s="8" t="s">
        <v>324</v>
      </c>
      <c r="E94" s="9"/>
      <c r="F94" s="9"/>
      <c r="G94" s="9"/>
      <c r="H94" s="9"/>
      <c r="I94" s="9"/>
      <c r="J94" s="9"/>
      <c r="K94" s="10" t="str">
        <f aca="false">IF(A94="","",IF(E94="","à noter",IF(OR(E94&lt;0,E94&gt;10),"hors échelle",IF(AND(F94&lt;&gt;"",F94&gt;E94),"min &gt; valeur",IF(AND(G94&lt;&gt;"",G94&lt;E94),"max &lt; valeur",IF(J94="","sans source","ok"))))))</f>
        <v>à noter</v>
      </c>
    </row>
    <row r="95" customFormat="false" ht="15" hidden="false" customHeight="false" outlineLevel="0" collapsed="false">
      <c r="A95" s="8" t="s">
        <v>210</v>
      </c>
      <c r="B95" s="8" t="s">
        <v>311</v>
      </c>
      <c r="C95" s="10" t="str">
        <f aca="false">IFERROR(INDEX(Criteres!$A$2:$A$1000,MATCH(B95,Criteres!$B$2:$B$1000,0)),"")</f>
        <v>economie</v>
      </c>
      <c r="D95" s="8" t="s">
        <v>324</v>
      </c>
      <c r="E95" s="9"/>
      <c r="F95" s="9"/>
      <c r="G95" s="9"/>
      <c r="H95" s="9"/>
      <c r="I95" s="9"/>
      <c r="J95" s="9"/>
      <c r="K95" s="10" t="str">
        <f aca="false">IF(A95="","",IF(E95="","à noter",IF(OR(E95&lt;0,E95&gt;10),"hors échelle",IF(AND(F95&lt;&gt;"",F95&gt;E95),"min &gt; valeur",IF(AND(G95&lt;&gt;"",G95&lt;E95),"max &lt; valeur",IF(J95="","sans source","ok"))))))</f>
        <v>à noter</v>
      </c>
    </row>
    <row r="96" customFormat="false" ht="15" hidden="false" customHeight="false" outlineLevel="0" collapsed="false">
      <c r="A96" s="8" t="s">
        <v>210</v>
      </c>
      <c r="B96" s="8" t="s">
        <v>312</v>
      </c>
      <c r="C96" s="10" t="str">
        <f aca="false">IFERROR(INDEX(Criteres!$A$2:$A$1000,MATCH(B96,Criteres!$B$2:$B$1000,0)),"")</f>
        <v>economie</v>
      </c>
      <c r="D96" s="8" t="s">
        <v>324</v>
      </c>
      <c r="E96" s="9"/>
      <c r="F96" s="9"/>
      <c r="G96" s="9"/>
      <c r="H96" s="9"/>
      <c r="I96" s="9"/>
      <c r="J96" s="9"/>
      <c r="K96" s="10" t="str">
        <f aca="false">IF(A96="","",IF(E96="","à noter",IF(OR(E96&lt;0,E96&gt;10),"hors échelle",IF(AND(F96&lt;&gt;"",F96&gt;E96),"min &gt; valeur",IF(AND(G96&lt;&gt;"",G96&lt;E96),"max &lt; valeur",IF(J96="","sans source","ok"))))))</f>
        <v>à noter</v>
      </c>
    </row>
    <row r="97" customFormat="false" ht="15" hidden="false" customHeight="false" outlineLevel="0" collapsed="false">
      <c r="A97" s="8" t="s">
        <v>210</v>
      </c>
      <c r="B97" s="8" t="s">
        <v>313</v>
      </c>
      <c r="C97" s="10" t="str">
        <f aca="false">IFERROR(INDEX(Criteres!$A$2:$A$1000,MATCH(B97,Criteres!$B$2:$B$1000,0)),"")</f>
        <v>economie</v>
      </c>
      <c r="D97" s="8" t="s">
        <v>324</v>
      </c>
      <c r="E97" s="9"/>
      <c r="F97" s="9"/>
      <c r="G97" s="9"/>
      <c r="H97" s="9"/>
      <c r="I97" s="9"/>
      <c r="J97" s="9"/>
      <c r="K97" s="10" t="str">
        <f aca="false">IF(A97="","",IF(E97="","à noter",IF(OR(E97&lt;0,E97&gt;10),"hors échelle",IF(AND(F97&lt;&gt;"",F97&gt;E97),"min &gt; valeur",IF(AND(G97&lt;&gt;"",G97&lt;E97),"max &lt; valeur",IF(J97="","sans source","ok"))))))</f>
        <v>à noter</v>
      </c>
    </row>
    <row r="98" customFormat="false" ht="15" hidden="false" customHeight="false" outlineLevel="0" collapsed="false">
      <c r="A98" s="8" t="s">
        <v>210</v>
      </c>
      <c r="B98" s="8" t="s">
        <v>314</v>
      </c>
      <c r="C98" s="10" t="str">
        <f aca="false">IFERROR(INDEX(Criteres!$A$2:$A$1000,MATCH(B98,Criteres!$B$2:$B$1000,0)),"")</f>
        <v>economie</v>
      </c>
      <c r="D98" s="8" t="s">
        <v>324</v>
      </c>
      <c r="E98" s="9"/>
      <c r="F98" s="9"/>
      <c r="G98" s="9"/>
      <c r="H98" s="9"/>
      <c r="I98" s="9"/>
      <c r="J98" s="9"/>
      <c r="K98" s="10" t="str">
        <f aca="false">IF(A98="","",IF(E98="","à noter",IF(OR(E98&lt;0,E98&gt;10),"hors échelle",IF(AND(F98&lt;&gt;"",F98&gt;E98),"min &gt; valeur",IF(AND(G98&lt;&gt;"",G98&lt;E98),"max &lt; valeur",IF(J98="","sans source","ok"))))))</f>
        <v>à noter</v>
      </c>
    </row>
    <row r="99" customFormat="false" ht="15" hidden="false" customHeight="false" outlineLevel="0" collapsed="false">
      <c r="A99" s="8" t="s">
        <v>210</v>
      </c>
      <c r="B99" s="8" t="s">
        <v>315</v>
      </c>
      <c r="C99" s="10" t="str">
        <f aca="false">IFERROR(INDEX(Criteres!$A$2:$A$1000,MATCH(B99,Criteres!$B$2:$B$1000,0)),"")</f>
        <v>economie</v>
      </c>
      <c r="D99" s="8" t="s">
        <v>324</v>
      </c>
      <c r="E99" s="9"/>
      <c r="F99" s="9"/>
      <c r="G99" s="9"/>
      <c r="H99" s="9"/>
      <c r="I99" s="9"/>
      <c r="J99" s="9"/>
      <c r="K99" s="10" t="str">
        <f aca="false">IF(A99="","",IF(E99="","à noter",IF(OR(E99&lt;0,E99&gt;10),"hors échelle",IF(AND(F99&lt;&gt;"",F99&gt;E99),"min &gt; valeur",IF(AND(G99&lt;&gt;"",G99&lt;E99),"max &lt; valeur",IF(J99="","sans source","ok"))))))</f>
        <v>à noter</v>
      </c>
    </row>
    <row r="100" customFormat="false" ht="15" hidden="false" customHeight="false" outlineLevel="0" collapsed="false">
      <c r="A100" s="8" t="s">
        <v>226</v>
      </c>
      <c r="B100" s="8" t="s">
        <v>309</v>
      </c>
      <c r="C100" s="10" t="str">
        <f aca="false">IFERROR(INDEX(Criteres!$A$2:$A$1000,MATCH(B100,Criteres!$B$2:$B$1000,0)),"")</f>
        <v>economie</v>
      </c>
      <c r="D100" s="8" t="s">
        <v>324</v>
      </c>
      <c r="E100" s="9"/>
      <c r="F100" s="9"/>
      <c r="G100" s="9"/>
      <c r="H100" s="9"/>
      <c r="I100" s="9"/>
      <c r="J100" s="9"/>
      <c r="K100" s="10" t="str">
        <f aca="false">IF(A100="","",IF(E100="","à noter",IF(OR(E100&lt;0,E100&gt;10),"hors échelle",IF(AND(F100&lt;&gt;"",F100&gt;E100),"min &gt; valeur",IF(AND(G100&lt;&gt;"",G100&lt;E100),"max &lt; valeur",IF(J100="","sans source","ok"))))))</f>
        <v>à noter</v>
      </c>
    </row>
    <row r="101" customFormat="false" ht="15" hidden="false" customHeight="false" outlineLevel="0" collapsed="false">
      <c r="A101" s="8" t="s">
        <v>226</v>
      </c>
      <c r="B101" s="8" t="s">
        <v>310</v>
      </c>
      <c r="C101" s="10" t="str">
        <f aca="false">IFERROR(INDEX(Criteres!$A$2:$A$1000,MATCH(B101,Criteres!$B$2:$B$1000,0)),"")</f>
        <v>economie</v>
      </c>
      <c r="D101" s="8" t="s">
        <v>324</v>
      </c>
      <c r="E101" s="9"/>
      <c r="F101" s="9"/>
      <c r="G101" s="9"/>
      <c r="H101" s="9"/>
      <c r="I101" s="9"/>
      <c r="J101" s="9"/>
      <c r="K101" s="10" t="str">
        <f aca="false">IF(A101="","",IF(E101="","à noter",IF(OR(E101&lt;0,E101&gt;10),"hors échelle",IF(AND(F101&lt;&gt;"",F101&gt;E101),"min &gt; valeur",IF(AND(G101&lt;&gt;"",G101&lt;E101),"max &lt; valeur",IF(J101="","sans source","ok"))))))</f>
        <v>à noter</v>
      </c>
    </row>
    <row r="102" customFormat="false" ht="15" hidden="false" customHeight="false" outlineLevel="0" collapsed="false">
      <c r="A102" s="8" t="s">
        <v>226</v>
      </c>
      <c r="B102" s="8" t="s">
        <v>311</v>
      </c>
      <c r="C102" s="10" t="str">
        <f aca="false">IFERROR(INDEX(Criteres!$A$2:$A$1000,MATCH(B102,Criteres!$B$2:$B$1000,0)),"")</f>
        <v>economie</v>
      </c>
      <c r="D102" s="8" t="s">
        <v>324</v>
      </c>
      <c r="E102" s="9"/>
      <c r="F102" s="9"/>
      <c r="G102" s="9"/>
      <c r="H102" s="9"/>
      <c r="I102" s="9"/>
      <c r="J102" s="9"/>
      <c r="K102" s="10" t="str">
        <f aca="false">IF(A102="","",IF(E102="","à noter",IF(OR(E102&lt;0,E102&gt;10),"hors échelle",IF(AND(F102&lt;&gt;"",F102&gt;E102),"min &gt; valeur",IF(AND(G102&lt;&gt;"",G102&lt;E102),"max &lt; valeur",IF(J102="","sans source","ok"))))))</f>
        <v>à noter</v>
      </c>
    </row>
    <row r="103" customFormat="false" ht="15" hidden="false" customHeight="false" outlineLevel="0" collapsed="false">
      <c r="A103" s="8" t="s">
        <v>226</v>
      </c>
      <c r="B103" s="8" t="s">
        <v>312</v>
      </c>
      <c r="C103" s="10" t="str">
        <f aca="false">IFERROR(INDEX(Criteres!$A$2:$A$1000,MATCH(B103,Criteres!$B$2:$B$1000,0)),"")</f>
        <v>economie</v>
      </c>
      <c r="D103" s="8" t="s">
        <v>324</v>
      </c>
      <c r="E103" s="9"/>
      <c r="F103" s="9"/>
      <c r="G103" s="9"/>
      <c r="H103" s="9"/>
      <c r="I103" s="9"/>
      <c r="J103" s="9"/>
      <c r="K103" s="10" t="str">
        <f aca="false">IF(A103="","",IF(E103="","à noter",IF(OR(E103&lt;0,E103&gt;10),"hors échelle",IF(AND(F103&lt;&gt;"",F103&gt;E103),"min &gt; valeur",IF(AND(G103&lt;&gt;"",G103&lt;E103),"max &lt; valeur",IF(J103="","sans source","ok"))))))</f>
        <v>à noter</v>
      </c>
    </row>
    <row r="104" customFormat="false" ht="15" hidden="false" customHeight="false" outlineLevel="0" collapsed="false">
      <c r="A104" s="8" t="s">
        <v>226</v>
      </c>
      <c r="B104" s="8" t="s">
        <v>313</v>
      </c>
      <c r="C104" s="10" t="str">
        <f aca="false">IFERROR(INDEX(Criteres!$A$2:$A$1000,MATCH(B104,Criteres!$B$2:$B$1000,0)),"")</f>
        <v>economie</v>
      </c>
      <c r="D104" s="8" t="s">
        <v>324</v>
      </c>
      <c r="E104" s="9"/>
      <c r="F104" s="9"/>
      <c r="G104" s="9"/>
      <c r="H104" s="9"/>
      <c r="I104" s="9"/>
      <c r="J104" s="9"/>
      <c r="K104" s="10" t="str">
        <f aca="false">IF(A104="","",IF(E104="","à noter",IF(OR(E104&lt;0,E104&gt;10),"hors échelle",IF(AND(F104&lt;&gt;"",F104&gt;E104),"min &gt; valeur",IF(AND(G104&lt;&gt;"",G104&lt;E104),"max &lt; valeur",IF(J104="","sans source","ok"))))))</f>
        <v>à noter</v>
      </c>
    </row>
    <row r="105" customFormat="false" ht="15" hidden="false" customHeight="false" outlineLevel="0" collapsed="false">
      <c r="A105" s="8" t="s">
        <v>226</v>
      </c>
      <c r="B105" s="8" t="s">
        <v>314</v>
      </c>
      <c r="C105" s="10" t="str">
        <f aca="false">IFERROR(INDEX(Criteres!$A$2:$A$1000,MATCH(B105,Criteres!$B$2:$B$1000,0)),"")</f>
        <v>economie</v>
      </c>
      <c r="D105" s="8" t="s">
        <v>324</v>
      </c>
      <c r="E105" s="9"/>
      <c r="F105" s="9"/>
      <c r="G105" s="9"/>
      <c r="H105" s="9"/>
      <c r="I105" s="9"/>
      <c r="J105" s="9"/>
      <c r="K105" s="10" t="str">
        <f aca="false">IF(A105="","",IF(E105="","à noter",IF(OR(E105&lt;0,E105&gt;10),"hors échelle",IF(AND(F105&lt;&gt;"",F105&gt;E105),"min &gt; valeur",IF(AND(G105&lt;&gt;"",G105&lt;E105),"max &lt; valeur",IF(J105="","sans source","ok"))))))</f>
        <v>à noter</v>
      </c>
    </row>
    <row r="106" customFormat="false" ht="15" hidden="false" customHeight="false" outlineLevel="0" collapsed="false">
      <c r="A106" s="8" t="s">
        <v>226</v>
      </c>
      <c r="B106" s="8" t="s">
        <v>315</v>
      </c>
      <c r="C106" s="10" t="str">
        <f aca="false">IFERROR(INDEX(Criteres!$A$2:$A$1000,MATCH(B106,Criteres!$B$2:$B$1000,0)),"")</f>
        <v>economie</v>
      </c>
      <c r="D106" s="8" t="s">
        <v>324</v>
      </c>
      <c r="E106" s="9"/>
      <c r="F106" s="9"/>
      <c r="G106" s="9"/>
      <c r="H106" s="9"/>
      <c r="I106" s="9"/>
      <c r="J106" s="9"/>
      <c r="K106" s="10" t="str">
        <f aca="false">IF(A106="","",IF(E106="","à noter",IF(OR(E106&lt;0,E106&gt;10),"hors échelle",IF(AND(F106&lt;&gt;"",F106&gt;E106),"min &gt; valeur",IF(AND(G106&lt;&gt;"",G106&lt;E106),"max &lt; valeur",IF(J106="","sans source","ok"))))))</f>
        <v>à noter</v>
      </c>
    </row>
    <row r="107" customFormat="false" ht="15" hidden="false" customHeight="false" outlineLevel="0" collapsed="false">
      <c r="A107" s="8" t="s">
        <v>234</v>
      </c>
      <c r="B107" s="8" t="s">
        <v>309</v>
      </c>
      <c r="C107" s="10" t="str">
        <f aca="false">IFERROR(INDEX(Criteres!$A$2:$A$1000,MATCH(B107,Criteres!$B$2:$B$1000,0)),"")</f>
        <v>economie</v>
      </c>
      <c r="D107" s="8" t="s">
        <v>324</v>
      </c>
      <c r="E107" s="9"/>
      <c r="F107" s="9"/>
      <c r="G107" s="9"/>
      <c r="H107" s="9"/>
      <c r="I107" s="9"/>
      <c r="J107" s="9"/>
      <c r="K107" s="10" t="str">
        <f aca="false">IF(A107="","",IF(E107="","à noter",IF(OR(E107&lt;0,E107&gt;10),"hors échelle",IF(AND(F107&lt;&gt;"",F107&gt;E107),"min &gt; valeur",IF(AND(G107&lt;&gt;"",G107&lt;E107),"max &lt; valeur",IF(J107="","sans source","ok"))))))</f>
        <v>à noter</v>
      </c>
    </row>
    <row r="108" customFormat="false" ht="15" hidden="false" customHeight="false" outlineLevel="0" collapsed="false">
      <c r="A108" s="8" t="s">
        <v>234</v>
      </c>
      <c r="B108" s="8" t="s">
        <v>310</v>
      </c>
      <c r="C108" s="10" t="str">
        <f aca="false">IFERROR(INDEX(Criteres!$A$2:$A$1000,MATCH(B108,Criteres!$B$2:$B$1000,0)),"")</f>
        <v>economie</v>
      </c>
      <c r="D108" s="8" t="s">
        <v>324</v>
      </c>
      <c r="E108" s="9"/>
      <c r="F108" s="9"/>
      <c r="G108" s="9"/>
      <c r="H108" s="9"/>
      <c r="I108" s="9"/>
      <c r="J108" s="9"/>
      <c r="K108" s="10" t="str">
        <f aca="false">IF(A108="","",IF(E108="","à noter",IF(OR(E108&lt;0,E108&gt;10),"hors échelle",IF(AND(F108&lt;&gt;"",F108&gt;E108),"min &gt; valeur",IF(AND(G108&lt;&gt;"",G108&lt;E108),"max &lt; valeur",IF(J108="","sans source","ok"))))))</f>
        <v>à noter</v>
      </c>
    </row>
    <row r="109" customFormat="false" ht="15" hidden="false" customHeight="false" outlineLevel="0" collapsed="false">
      <c r="A109" s="8" t="s">
        <v>234</v>
      </c>
      <c r="B109" s="8" t="s">
        <v>311</v>
      </c>
      <c r="C109" s="10" t="str">
        <f aca="false">IFERROR(INDEX(Criteres!$A$2:$A$1000,MATCH(B109,Criteres!$B$2:$B$1000,0)),"")</f>
        <v>economie</v>
      </c>
      <c r="D109" s="8" t="s">
        <v>324</v>
      </c>
      <c r="E109" s="9"/>
      <c r="F109" s="9"/>
      <c r="G109" s="9"/>
      <c r="H109" s="9"/>
      <c r="I109" s="9"/>
      <c r="J109" s="9"/>
      <c r="K109" s="10" t="str">
        <f aca="false">IF(A109="","",IF(E109="","à noter",IF(OR(E109&lt;0,E109&gt;10),"hors échelle",IF(AND(F109&lt;&gt;"",F109&gt;E109),"min &gt; valeur",IF(AND(G109&lt;&gt;"",G109&lt;E109),"max &lt; valeur",IF(J109="","sans source","ok"))))))</f>
        <v>à noter</v>
      </c>
    </row>
    <row r="110" customFormat="false" ht="15" hidden="false" customHeight="false" outlineLevel="0" collapsed="false">
      <c r="A110" s="8" t="s">
        <v>234</v>
      </c>
      <c r="B110" s="8" t="s">
        <v>312</v>
      </c>
      <c r="C110" s="10" t="str">
        <f aca="false">IFERROR(INDEX(Criteres!$A$2:$A$1000,MATCH(B110,Criteres!$B$2:$B$1000,0)),"")</f>
        <v>economie</v>
      </c>
      <c r="D110" s="8" t="s">
        <v>324</v>
      </c>
      <c r="E110" s="9"/>
      <c r="F110" s="9"/>
      <c r="G110" s="9"/>
      <c r="H110" s="9"/>
      <c r="I110" s="9"/>
      <c r="J110" s="9"/>
      <c r="K110" s="10" t="str">
        <f aca="false">IF(A110="","",IF(E110="","à noter",IF(OR(E110&lt;0,E110&gt;10),"hors échelle",IF(AND(F110&lt;&gt;"",F110&gt;E110),"min &gt; valeur",IF(AND(G110&lt;&gt;"",G110&lt;E110),"max &lt; valeur",IF(J110="","sans source","ok"))))))</f>
        <v>à noter</v>
      </c>
    </row>
    <row r="111" customFormat="false" ht="15" hidden="false" customHeight="false" outlineLevel="0" collapsed="false">
      <c r="A111" s="8" t="s">
        <v>234</v>
      </c>
      <c r="B111" s="8" t="s">
        <v>313</v>
      </c>
      <c r="C111" s="10" t="str">
        <f aca="false">IFERROR(INDEX(Criteres!$A$2:$A$1000,MATCH(B111,Criteres!$B$2:$B$1000,0)),"")</f>
        <v>economie</v>
      </c>
      <c r="D111" s="8" t="s">
        <v>324</v>
      </c>
      <c r="E111" s="9"/>
      <c r="F111" s="9"/>
      <c r="G111" s="9"/>
      <c r="H111" s="9"/>
      <c r="I111" s="9"/>
      <c r="J111" s="9"/>
      <c r="K111" s="10" t="str">
        <f aca="false">IF(A111="","",IF(E111="","à noter",IF(OR(E111&lt;0,E111&gt;10),"hors échelle",IF(AND(F111&lt;&gt;"",F111&gt;E111),"min &gt; valeur",IF(AND(G111&lt;&gt;"",G111&lt;E111),"max &lt; valeur",IF(J111="","sans source","ok"))))))</f>
        <v>à noter</v>
      </c>
    </row>
    <row r="112" customFormat="false" ht="15" hidden="false" customHeight="false" outlineLevel="0" collapsed="false">
      <c r="A112" s="8" t="s">
        <v>234</v>
      </c>
      <c r="B112" s="8" t="s">
        <v>314</v>
      </c>
      <c r="C112" s="10" t="str">
        <f aca="false">IFERROR(INDEX(Criteres!$A$2:$A$1000,MATCH(B112,Criteres!$B$2:$B$1000,0)),"")</f>
        <v>economie</v>
      </c>
      <c r="D112" s="8" t="s">
        <v>324</v>
      </c>
      <c r="E112" s="9"/>
      <c r="F112" s="9"/>
      <c r="G112" s="9"/>
      <c r="H112" s="9"/>
      <c r="I112" s="9"/>
      <c r="J112" s="9"/>
      <c r="K112" s="10" t="str">
        <f aca="false">IF(A112="","",IF(E112="","à noter",IF(OR(E112&lt;0,E112&gt;10),"hors échelle",IF(AND(F112&lt;&gt;"",F112&gt;E112),"min &gt; valeur",IF(AND(G112&lt;&gt;"",G112&lt;E112),"max &lt; valeur",IF(J112="","sans source","ok"))))))</f>
        <v>à noter</v>
      </c>
    </row>
    <row r="113" customFormat="false" ht="15" hidden="false" customHeight="false" outlineLevel="0" collapsed="false">
      <c r="A113" s="8" t="s">
        <v>234</v>
      </c>
      <c r="B113" s="8" t="s">
        <v>315</v>
      </c>
      <c r="C113" s="10" t="str">
        <f aca="false">IFERROR(INDEX(Criteres!$A$2:$A$1000,MATCH(B113,Criteres!$B$2:$B$1000,0)),"")</f>
        <v>economie</v>
      </c>
      <c r="D113" s="8" t="s">
        <v>324</v>
      </c>
      <c r="E113" s="9"/>
      <c r="F113" s="9"/>
      <c r="G113" s="9"/>
      <c r="H113" s="9"/>
      <c r="I113" s="9"/>
      <c r="J113" s="9"/>
      <c r="K113" s="10" t="str">
        <f aca="false">IF(A113="","",IF(E113="","à noter",IF(OR(E113&lt;0,E113&gt;10),"hors échelle",IF(AND(F113&lt;&gt;"",F113&gt;E113),"min &gt; valeur",IF(AND(G113&lt;&gt;"",G113&lt;E113),"max &lt; valeur",IF(J113="","sans source","ok"))))))</f>
        <v>à noter</v>
      </c>
    </row>
    <row r="114" customFormat="false" ht="15" hidden="false" customHeight="false" outlineLevel="0" collapsed="false">
      <c r="A114" s="9"/>
      <c r="B114" s="9"/>
      <c r="C114" s="10" t="str">
        <f aca="false">IFERROR(INDEX(Criteres!$A$2:$A$1000,MATCH(B114,Criteres!$B$2:$B$1000,0)),"")</f>
        <v/>
      </c>
      <c r="D114" s="9"/>
      <c r="E114" s="9"/>
      <c r="F114" s="9"/>
      <c r="G114" s="9"/>
      <c r="H114" s="9"/>
      <c r="I114" s="9"/>
      <c r="J114" s="9"/>
      <c r="K114" s="10" t="str">
        <f aca="false">IF(A114="","",IF(E114="","à noter",IF(OR(E114&lt;0,E114&gt;10),"hors échelle",IF(AND(F114&lt;&gt;"",F114&gt;E114),"min &gt; valeur",IF(AND(G114&lt;&gt;"",G114&lt;E114),"max &lt; valeur",IF(J114="","sans source","ok"))))))</f>
        <v/>
      </c>
    </row>
    <row r="115" customFormat="false" ht="15" hidden="false" customHeight="false" outlineLevel="0" collapsed="false">
      <c r="A115" s="9"/>
      <c r="B115" s="9"/>
      <c r="C115" s="10" t="str">
        <f aca="false">IFERROR(INDEX(Criteres!$A$2:$A$1000,MATCH(B115,Criteres!$B$2:$B$1000,0)),"")</f>
        <v/>
      </c>
      <c r="D115" s="9"/>
      <c r="E115" s="9"/>
      <c r="F115" s="9"/>
      <c r="G115" s="9"/>
      <c r="H115" s="9"/>
      <c r="I115" s="9"/>
      <c r="J115" s="9"/>
      <c r="K115" s="10" t="str">
        <f aca="false">IF(A115="","",IF(E115="","à noter",IF(OR(E115&lt;0,E115&gt;10),"hors échelle",IF(AND(F115&lt;&gt;"",F115&gt;E115),"min &gt; valeur",IF(AND(G115&lt;&gt;"",G115&lt;E115),"max &lt; valeur",IF(J115="","sans source","ok"))))))</f>
        <v/>
      </c>
    </row>
    <row r="116" customFormat="false" ht="15" hidden="false" customHeight="false" outlineLevel="0" collapsed="false">
      <c r="A116" s="9"/>
      <c r="B116" s="9"/>
      <c r="C116" s="10" t="str">
        <f aca="false">IFERROR(INDEX(Criteres!$A$2:$A$1000,MATCH(B116,Criteres!$B$2:$B$1000,0)),"")</f>
        <v/>
      </c>
      <c r="D116" s="9"/>
      <c r="E116" s="9"/>
      <c r="F116" s="9"/>
      <c r="G116" s="9"/>
      <c r="H116" s="9"/>
      <c r="I116" s="9"/>
      <c r="J116" s="9"/>
      <c r="K116" s="10" t="str">
        <f aca="false">IF(A116="","",IF(E116="","à noter",IF(OR(E116&lt;0,E116&gt;10),"hors échelle",IF(AND(F116&lt;&gt;"",F116&gt;E116),"min &gt; valeur",IF(AND(G116&lt;&gt;"",G116&lt;E116),"max &lt; valeur",IF(J116="","sans source","ok"))))))</f>
        <v/>
      </c>
    </row>
    <row r="117" customFormat="false" ht="15" hidden="false" customHeight="false" outlineLevel="0" collapsed="false">
      <c r="A117" s="9"/>
      <c r="B117" s="9"/>
      <c r="C117" s="10" t="str">
        <f aca="false">IFERROR(INDEX(Criteres!$A$2:$A$1000,MATCH(B117,Criteres!$B$2:$B$1000,0)),"")</f>
        <v/>
      </c>
      <c r="D117" s="9"/>
      <c r="E117" s="9"/>
      <c r="F117" s="9"/>
      <c r="G117" s="9"/>
      <c r="H117" s="9"/>
      <c r="I117" s="9"/>
      <c r="J117" s="9"/>
      <c r="K117" s="10" t="str">
        <f aca="false">IF(A117="","",IF(E117="","à noter",IF(OR(E117&lt;0,E117&gt;10),"hors échelle",IF(AND(F117&lt;&gt;"",F117&gt;E117),"min &gt; valeur",IF(AND(G117&lt;&gt;"",G117&lt;E117),"max &lt; valeur",IF(J117="","sans source","ok"))))))</f>
        <v/>
      </c>
    </row>
    <row r="118" customFormat="false" ht="15" hidden="false" customHeight="false" outlineLevel="0" collapsed="false">
      <c r="A118" s="9"/>
      <c r="B118" s="9"/>
      <c r="C118" s="10" t="str">
        <f aca="false">IFERROR(INDEX(Criteres!$A$2:$A$1000,MATCH(B118,Criteres!$B$2:$B$1000,0)),"")</f>
        <v/>
      </c>
      <c r="D118" s="9"/>
      <c r="E118" s="9"/>
      <c r="F118" s="9"/>
      <c r="G118" s="9"/>
      <c r="H118" s="9"/>
      <c r="I118" s="9"/>
      <c r="J118" s="9"/>
      <c r="K118" s="10" t="str">
        <f aca="false">IF(A118="","",IF(E118="","à noter",IF(OR(E118&lt;0,E118&gt;10),"hors échelle",IF(AND(F118&lt;&gt;"",F118&gt;E118),"min &gt; valeur",IF(AND(G118&lt;&gt;"",G118&lt;E118),"max &lt; valeur",IF(J118="","sans source","ok"))))))</f>
        <v/>
      </c>
    </row>
    <row r="119" customFormat="false" ht="15" hidden="false" customHeight="false" outlineLevel="0" collapsed="false">
      <c r="A119" s="9"/>
      <c r="B119" s="9"/>
      <c r="C119" s="10" t="str">
        <f aca="false">IFERROR(INDEX(Criteres!$A$2:$A$1000,MATCH(B119,Criteres!$B$2:$B$1000,0)),"")</f>
        <v/>
      </c>
      <c r="D119" s="9"/>
      <c r="E119" s="9"/>
      <c r="F119" s="9"/>
      <c r="G119" s="9"/>
      <c r="H119" s="9"/>
      <c r="I119" s="9"/>
      <c r="J119" s="9"/>
      <c r="K119" s="10" t="str">
        <f aca="false">IF(A119="","",IF(E119="","à noter",IF(OR(E119&lt;0,E119&gt;10),"hors échelle",IF(AND(F119&lt;&gt;"",F119&gt;E119),"min &gt; valeur",IF(AND(G119&lt;&gt;"",G119&lt;E119),"max &lt; valeur",IF(J119="","sans source","ok"))))))</f>
        <v/>
      </c>
    </row>
    <row r="120" customFormat="false" ht="15" hidden="false" customHeight="false" outlineLevel="0" collapsed="false">
      <c r="A120" s="9"/>
      <c r="B120" s="9"/>
      <c r="C120" s="10" t="str">
        <f aca="false">IFERROR(INDEX(Criteres!$A$2:$A$1000,MATCH(B120,Criteres!$B$2:$B$1000,0)),"")</f>
        <v/>
      </c>
      <c r="D120" s="9"/>
      <c r="E120" s="9"/>
      <c r="F120" s="9"/>
      <c r="G120" s="9"/>
      <c r="H120" s="9"/>
      <c r="I120" s="9"/>
      <c r="J120" s="9"/>
      <c r="K120" s="10" t="str">
        <f aca="false">IF(A120="","",IF(E120="","à noter",IF(OR(E120&lt;0,E120&gt;10),"hors échelle",IF(AND(F120&lt;&gt;"",F120&gt;E120),"min &gt; valeur",IF(AND(G120&lt;&gt;"",G120&lt;E120),"max &lt; valeur",IF(J120="","sans source","ok"))))))</f>
        <v/>
      </c>
    </row>
    <row r="121" customFormat="false" ht="15" hidden="false" customHeight="false" outlineLevel="0" collapsed="false">
      <c r="A121" s="9"/>
      <c r="B121" s="9"/>
      <c r="C121" s="10" t="str">
        <f aca="false">IFERROR(INDEX(Criteres!$A$2:$A$1000,MATCH(B121,Criteres!$B$2:$B$1000,0)),"")</f>
        <v/>
      </c>
      <c r="D121" s="9"/>
      <c r="E121" s="9"/>
      <c r="F121" s="9"/>
      <c r="G121" s="9"/>
      <c r="H121" s="9"/>
      <c r="I121" s="9"/>
      <c r="J121" s="9"/>
      <c r="K121" s="10" t="str">
        <f aca="false">IF(A121="","",IF(E121="","à noter",IF(OR(E121&lt;0,E121&gt;10),"hors échelle",IF(AND(F121&lt;&gt;"",F121&gt;E121),"min &gt; valeur",IF(AND(G121&lt;&gt;"",G121&lt;E121),"max &lt; valeur",IF(J121="","sans source","ok"))))))</f>
        <v/>
      </c>
    </row>
    <row r="122" customFormat="false" ht="15" hidden="false" customHeight="false" outlineLevel="0" collapsed="false">
      <c r="A122" s="9"/>
      <c r="B122" s="9"/>
      <c r="C122" s="10" t="str">
        <f aca="false">IFERROR(INDEX(Criteres!$A$2:$A$1000,MATCH(B122,Criteres!$B$2:$B$1000,0)),"")</f>
        <v/>
      </c>
      <c r="D122" s="9"/>
      <c r="E122" s="9"/>
      <c r="F122" s="9"/>
      <c r="G122" s="9"/>
      <c r="H122" s="9"/>
      <c r="I122" s="9"/>
      <c r="J122" s="9"/>
      <c r="K122" s="10" t="str">
        <f aca="false">IF(A122="","",IF(E122="","à noter",IF(OR(E122&lt;0,E122&gt;10),"hors échelle",IF(AND(F122&lt;&gt;"",F122&gt;E122),"min &gt; valeur",IF(AND(G122&lt;&gt;"",G122&lt;E122),"max &lt; valeur",IF(J122="","sans source","ok"))))))</f>
        <v/>
      </c>
    </row>
    <row r="123" customFormat="false" ht="15" hidden="false" customHeight="false" outlineLevel="0" collapsed="false">
      <c r="A123" s="9"/>
      <c r="B123" s="9"/>
      <c r="C123" s="10" t="str">
        <f aca="false">IFERROR(INDEX(Criteres!$A$2:$A$1000,MATCH(B123,Criteres!$B$2:$B$1000,0)),"")</f>
        <v/>
      </c>
      <c r="D123" s="9"/>
      <c r="E123" s="9"/>
      <c r="F123" s="9"/>
      <c r="G123" s="9"/>
      <c r="H123" s="9"/>
      <c r="I123" s="9"/>
      <c r="J123" s="9"/>
      <c r="K123" s="10" t="str">
        <f aca="false">IF(A123="","",IF(E123="","à noter",IF(OR(E123&lt;0,E123&gt;10),"hors échelle",IF(AND(F123&lt;&gt;"",F123&gt;E123),"min &gt; valeur",IF(AND(G123&lt;&gt;"",G123&lt;E123),"max &lt; valeur",IF(J123="","sans source","ok"))))))</f>
        <v/>
      </c>
    </row>
    <row r="124" customFormat="false" ht="15" hidden="false" customHeight="false" outlineLevel="0" collapsed="false">
      <c r="A124" s="9"/>
      <c r="B124" s="9"/>
      <c r="C124" s="10" t="str">
        <f aca="false">IFERROR(INDEX(Criteres!$A$2:$A$1000,MATCH(B124,Criteres!$B$2:$B$1000,0)),"")</f>
        <v/>
      </c>
      <c r="D124" s="9"/>
      <c r="E124" s="9"/>
      <c r="F124" s="9"/>
      <c r="G124" s="9"/>
      <c r="H124" s="9"/>
      <c r="I124" s="9"/>
      <c r="J124" s="9"/>
      <c r="K124" s="10" t="str">
        <f aca="false">IF(A124="","",IF(E124="","à noter",IF(OR(E124&lt;0,E124&gt;10),"hors échelle",IF(AND(F124&lt;&gt;"",F124&gt;E124),"min &gt; valeur",IF(AND(G124&lt;&gt;"",G124&lt;E124),"max &lt; valeur",IF(J124="","sans source","ok"))))))</f>
        <v/>
      </c>
    </row>
    <row r="125" customFormat="false" ht="15" hidden="false" customHeight="false" outlineLevel="0" collapsed="false">
      <c r="A125" s="9"/>
      <c r="B125" s="9"/>
      <c r="C125" s="10" t="str">
        <f aca="false">IFERROR(INDEX(Criteres!$A$2:$A$1000,MATCH(B125,Criteres!$B$2:$B$1000,0)),"")</f>
        <v/>
      </c>
      <c r="D125" s="9"/>
      <c r="E125" s="9"/>
      <c r="F125" s="9"/>
      <c r="G125" s="9"/>
      <c r="H125" s="9"/>
      <c r="I125" s="9"/>
      <c r="J125" s="9"/>
      <c r="K125" s="10" t="str">
        <f aca="false">IF(A125="","",IF(E125="","à noter",IF(OR(E125&lt;0,E125&gt;10),"hors échelle",IF(AND(F125&lt;&gt;"",F125&gt;E125),"min &gt; valeur",IF(AND(G125&lt;&gt;"",G125&lt;E125),"max &lt; valeur",IF(J125="","sans source","ok"))))))</f>
        <v/>
      </c>
    </row>
    <row r="126" customFormat="false" ht="15" hidden="false" customHeight="false" outlineLevel="0" collapsed="false">
      <c r="A126" s="9"/>
      <c r="B126" s="9"/>
      <c r="C126" s="10" t="str">
        <f aca="false">IFERROR(INDEX(Criteres!$A$2:$A$1000,MATCH(B126,Criteres!$B$2:$B$1000,0)),"")</f>
        <v/>
      </c>
      <c r="D126" s="9"/>
      <c r="E126" s="9"/>
      <c r="F126" s="9"/>
      <c r="G126" s="9"/>
      <c r="H126" s="9"/>
      <c r="I126" s="9"/>
      <c r="J126" s="9"/>
      <c r="K126" s="10" t="str">
        <f aca="false">IF(A126="","",IF(E126="","à noter",IF(OR(E126&lt;0,E126&gt;10),"hors échelle",IF(AND(F126&lt;&gt;"",F126&gt;E126),"min &gt; valeur",IF(AND(G126&lt;&gt;"",G126&lt;E126),"max &lt; valeur",IF(J126="","sans source","ok"))))))</f>
        <v/>
      </c>
    </row>
    <row r="127" customFormat="false" ht="15" hidden="false" customHeight="false" outlineLevel="0" collapsed="false">
      <c r="A127" s="9"/>
      <c r="B127" s="9"/>
      <c r="C127" s="10" t="str">
        <f aca="false">IFERROR(INDEX(Criteres!$A$2:$A$1000,MATCH(B127,Criteres!$B$2:$B$1000,0)),"")</f>
        <v/>
      </c>
      <c r="D127" s="9"/>
      <c r="E127" s="9"/>
      <c r="F127" s="9"/>
      <c r="G127" s="9"/>
      <c r="H127" s="9"/>
      <c r="I127" s="9"/>
      <c r="J127" s="9"/>
      <c r="K127" s="10" t="str">
        <f aca="false">IF(A127="","",IF(E127="","à noter",IF(OR(E127&lt;0,E127&gt;10),"hors échelle",IF(AND(F127&lt;&gt;"",F127&gt;E127),"min &gt; valeur",IF(AND(G127&lt;&gt;"",G127&lt;E127),"max &lt; valeur",IF(J127="","sans source","ok"))))))</f>
        <v/>
      </c>
    </row>
    <row r="128" customFormat="false" ht="15" hidden="false" customHeight="false" outlineLevel="0" collapsed="false">
      <c r="A128" s="9"/>
      <c r="B128" s="9"/>
      <c r="C128" s="10" t="str">
        <f aca="false">IFERROR(INDEX(Criteres!$A$2:$A$1000,MATCH(B128,Criteres!$B$2:$B$1000,0)),"")</f>
        <v/>
      </c>
      <c r="D128" s="9"/>
      <c r="E128" s="9"/>
      <c r="F128" s="9"/>
      <c r="G128" s="9"/>
      <c r="H128" s="9"/>
      <c r="I128" s="9"/>
      <c r="J128" s="9"/>
      <c r="K128" s="10" t="str">
        <f aca="false">IF(A128="","",IF(E128="","à noter",IF(OR(E128&lt;0,E128&gt;10),"hors échelle",IF(AND(F128&lt;&gt;"",F128&gt;E128),"min &gt; valeur",IF(AND(G128&lt;&gt;"",G128&lt;E128),"max &lt; valeur",IF(J128="","sans source","ok"))))))</f>
        <v/>
      </c>
    </row>
    <row r="129" customFormat="false" ht="15" hidden="false" customHeight="false" outlineLevel="0" collapsed="false">
      <c r="A129" s="9"/>
      <c r="B129" s="9"/>
      <c r="C129" s="10" t="str">
        <f aca="false">IFERROR(INDEX(Criteres!$A$2:$A$1000,MATCH(B129,Criteres!$B$2:$B$1000,0)),"")</f>
        <v/>
      </c>
      <c r="D129" s="9"/>
      <c r="E129" s="9"/>
      <c r="F129" s="9"/>
      <c r="G129" s="9"/>
      <c r="H129" s="9"/>
      <c r="I129" s="9"/>
      <c r="J129" s="9"/>
      <c r="K129" s="10" t="str">
        <f aca="false">IF(A129="","",IF(E129="","à noter",IF(OR(E129&lt;0,E129&gt;10),"hors échelle",IF(AND(F129&lt;&gt;"",F129&gt;E129),"min &gt; valeur",IF(AND(G129&lt;&gt;"",G129&lt;E129),"max &lt; valeur",IF(J129="","sans source","ok"))))))</f>
        <v/>
      </c>
    </row>
    <row r="130" customFormat="false" ht="15" hidden="false" customHeight="false" outlineLevel="0" collapsed="false">
      <c r="A130" s="9"/>
      <c r="B130" s="9"/>
      <c r="C130" s="10" t="str">
        <f aca="false">IFERROR(INDEX(Criteres!$A$2:$A$1000,MATCH(B130,Criteres!$B$2:$B$1000,0)),"")</f>
        <v/>
      </c>
      <c r="D130" s="9"/>
      <c r="E130" s="9"/>
      <c r="F130" s="9"/>
      <c r="G130" s="9"/>
      <c r="H130" s="9"/>
      <c r="I130" s="9"/>
      <c r="J130" s="9"/>
      <c r="K130" s="10" t="str">
        <f aca="false">IF(A130="","",IF(E130="","à noter",IF(OR(E130&lt;0,E130&gt;10),"hors échelle",IF(AND(F130&lt;&gt;"",F130&gt;E130),"min &gt; valeur",IF(AND(G130&lt;&gt;"",G130&lt;E130),"max &lt; valeur",IF(J130="","sans source","ok"))))))</f>
        <v/>
      </c>
    </row>
    <row r="131" customFormat="false" ht="15" hidden="false" customHeight="false" outlineLevel="0" collapsed="false">
      <c r="A131" s="9"/>
      <c r="B131" s="9"/>
      <c r="C131" s="10" t="str">
        <f aca="false">IFERROR(INDEX(Criteres!$A$2:$A$1000,MATCH(B131,Criteres!$B$2:$B$1000,0)),"")</f>
        <v/>
      </c>
      <c r="D131" s="9"/>
      <c r="E131" s="9"/>
      <c r="F131" s="9"/>
      <c r="G131" s="9"/>
      <c r="H131" s="9"/>
      <c r="I131" s="9"/>
      <c r="J131" s="9"/>
      <c r="K131" s="10" t="str">
        <f aca="false">IF(A131="","",IF(E131="","à noter",IF(OR(E131&lt;0,E131&gt;10),"hors échelle",IF(AND(F131&lt;&gt;"",F131&gt;E131),"min &gt; valeur",IF(AND(G131&lt;&gt;"",G131&lt;E131),"max &lt; valeur",IF(J131="","sans source","ok"))))))</f>
        <v/>
      </c>
    </row>
    <row r="132" customFormat="false" ht="15" hidden="false" customHeight="false" outlineLevel="0" collapsed="false">
      <c r="A132" s="9"/>
      <c r="B132" s="9"/>
      <c r="C132" s="10" t="str">
        <f aca="false">IFERROR(INDEX(Criteres!$A$2:$A$1000,MATCH(B132,Criteres!$B$2:$B$1000,0)),"")</f>
        <v/>
      </c>
      <c r="D132" s="9"/>
      <c r="E132" s="9"/>
      <c r="F132" s="9"/>
      <c r="G132" s="9"/>
      <c r="H132" s="9"/>
      <c r="I132" s="9"/>
      <c r="J132" s="9"/>
      <c r="K132" s="10" t="str">
        <f aca="false">IF(A132="","",IF(E132="","à noter",IF(OR(E132&lt;0,E132&gt;10),"hors échelle",IF(AND(F132&lt;&gt;"",F132&gt;E132),"min &gt; valeur",IF(AND(G132&lt;&gt;"",G132&lt;E132),"max &lt; valeur",IF(J132="","sans source","ok"))))))</f>
        <v/>
      </c>
    </row>
    <row r="133" customFormat="false" ht="15" hidden="false" customHeight="false" outlineLevel="0" collapsed="false">
      <c r="A133" s="9"/>
      <c r="B133" s="9"/>
      <c r="C133" s="10" t="str">
        <f aca="false">IFERROR(INDEX(Criteres!$A$2:$A$1000,MATCH(B133,Criteres!$B$2:$B$1000,0)),"")</f>
        <v/>
      </c>
      <c r="D133" s="9"/>
      <c r="E133" s="9"/>
      <c r="F133" s="9"/>
      <c r="G133" s="9"/>
      <c r="H133" s="9"/>
      <c r="I133" s="9"/>
      <c r="J133" s="9"/>
      <c r="K133" s="10" t="str">
        <f aca="false">IF(A133="","",IF(E133="","à noter",IF(OR(E133&lt;0,E133&gt;10),"hors échelle",IF(AND(F133&lt;&gt;"",F133&gt;E133),"min &gt; valeur",IF(AND(G133&lt;&gt;"",G133&lt;E133),"max &lt; valeur",IF(J133="","sans source","ok"))))))</f>
        <v/>
      </c>
    </row>
    <row r="134" customFormat="false" ht="15" hidden="false" customHeight="false" outlineLevel="0" collapsed="false">
      <c r="A134" s="9"/>
      <c r="B134" s="9"/>
      <c r="C134" s="10" t="str">
        <f aca="false">IFERROR(INDEX(Criteres!$A$2:$A$1000,MATCH(B134,Criteres!$B$2:$B$1000,0)),"")</f>
        <v/>
      </c>
      <c r="D134" s="9"/>
      <c r="E134" s="9"/>
      <c r="F134" s="9"/>
      <c r="G134" s="9"/>
      <c r="H134" s="9"/>
      <c r="I134" s="9"/>
      <c r="J134" s="9"/>
      <c r="K134" s="10" t="str">
        <f aca="false">IF(A134="","",IF(E134="","à noter",IF(OR(E134&lt;0,E134&gt;10),"hors échelle",IF(AND(F134&lt;&gt;"",F134&gt;E134),"min &gt; valeur",IF(AND(G134&lt;&gt;"",G134&lt;E134),"max &lt; valeur",IF(J134="","sans source","ok"))))))</f>
        <v/>
      </c>
    </row>
    <row r="135" customFormat="false" ht="15" hidden="false" customHeight="false" outlineLevel="0" collapsed="false">
      <c r="A135" s="9"/>
      <c r="B135" s="9"/>
      <c r="C135" s="10" t="str">
        <f aca="false">IFERROR(INDEX(Criteres!$A$2:$A$1000,MATCH(B135,Criteres!$B$2:$B$1000,0)),"")</f>
        <v/>
      </c>
      <c r="D135" s="9"/>
      <c r="E135" s="9"/>
      <c r="F135" s="9"/>
      <c r="G135" s="9"/>
      <c r="H135" s="9"/>
      <c r="I135" s="9"/>
      <c r="J135" s="9"/>
      <c r="K135" s="10" t="str">
        <f aca="false">IF(A135="","",IF(E135="","à noter",IF(OR(E135&lt;0,E135&gt;10),"hors échelle",IF(AND(F135&lt;&gt;"",F135&gt;E135),"min &gt; valeur",IF(AND(G135&lt;&gt;"",G135&lt;E135),"max &lt; valeur",IF(J135="","sans source","ok"))))))</f>
        <v/>
      </c>
    </row>
    <row r="136" customFormat="false" ht="15" hidden="false" customHeight="false" outlineLevel="0" collapsed="false">
      <c r="A136" s="9"/>
      <c r="B136" s="9"/>
      <c r="C136" s="10" t="str">
        <f aca="false">IFERROR(INDEX(Criteres!$A$2:$A$1000,MATCH(B136,Criteres!$B$2:$B$1000,0)),"")</f>
        <v/>
      </c>
      <c r="D136" s="9"/>
      <c r="E136" s="9"/>
      <c r="F136" s="9"/>
      <c r="G136" s="9"/>
      <c r="H136" s="9"/>
      <c r="I136" s="9"/>
      <c r="J136" s="9"/>
      <c r="K136" s="10" t="str">
        <f aca="false">IF(A136="","",IF(E136="","à noter",IF(OR(E136&lt;0,E136&gt;10),"hors échelle",IF(AND(F136&lt;&gt;"",F136&gt;E136),"min &gt; valeur",IF(AND(G136&lt;&gt;"",G136&lt;E136),"max &lt; valeur",IF(J136="","sans source","ok"))))))</f>
        <v/>
      </c>
    </row>
    <row r="137" customFormat="false" ht="15" hidden="false" customHeight="false" outlineLevel="0" collapsed="false">
      <c r="A137" s="9"/>
      <c r="B137" s="9"/>
      <c r="C137" s="10" t="str">
        <f aca="false">IFERROR(INDEX(Criteres!$A$2:$A$1000,MATCH(B137,Criteres!$B$2:$B$1000,0)),"")</f>
        <v/>
      </c>
      <c r="D137" s="9"/>
      <c r="E137" s="9"/>
      <c r="F137" s="9"/>
      <c r="G137" s="9"/>
      <c r="H137" s="9"/>
      <c r="I137" s="9"/>
      <c r="J137" s="9"/>
      <c r="K137" s="10" t="str">
        <f aca="false">IF(A137="","",IF(E137="","à noter",IF(OR(E137&lt;0,E137&gt;10),"hors échelle",IF(AND(F137&lt;&gt;"",F137&gt;E137),"min &gt; valeur",IF(AND(G137&lt;&gt;"",G137&lt;E137),"max &lt; valeur",IF(J137="","sans source","ok"))))))</f>
        <v/>
      </c>
    </row>
    <row r="138" customFormat="false" ht="15" hidden="false" customHeight="false" outlineLevel="0" collapsed="false">
      <c r="A138" s="9"/>
      <c r="B138" s="9"/>
      <c r="C138" s="10" t="str">
        <f aca="false">IFERROR(INDEX(Criteres!$A$2:$A$1000,MATCH(B138,Criteres!$B$2:$B$1000,0)),"")</f>
        <v/>
      </c>
      <c r="D138" s="9"/>
      <c r="E138" s="9"/>
      <c r="F138" s="9"/>
      <c r="G138" s="9"/>
      <c r="H138" s="9"/>
      <c r="I138" s="9"/>
      <c r="J138" s="9"/>
      <c r="K138" s="10" t="str">
        <f aca="false">IF(A138="","",IF(E138="","à noter",IF(OR(E138&lt;0,E138&gt;10),"hors échelle",IF(AND(F138&lt;&gt;"",F138&gt;E138),"min &gt; valeur",IF(AND(G138&lt;&gt;"",G138&lt;E138),"max &lt; valeur",IF(J138="","sans source","ok"))))))</f>
        <v/>
      </c>
    </row>
    <row r="139" customFormat="false" ht="15" hidden="false" customHeight="false" outlineLevel="0" collapsed="false">
      <c r="A139" s="9"/>
      <c r="B139" s="9"/>
      <c r="C139" s="10" t="str">
        <f aca="false">IFERROR(INDEX(Criteres!$A$2:$A$1000,MATCH(B139,Criteres!$B$2:$B$1000,0)),"")</f>
        <v/>
      </c>
      <c r="D139" s="9"/>
      <c r="E139" s="9"/>
      <c r="F139" s="9"/>
      <c r="G139" s="9"/>
      <c r="H139" s="9"/>
      <c r="I139" s="9"/>
      <c r="J139" s="9"/>
      <c r="K139" s="10" t="str">
        <f aca="false">IF(A139="","",IF(E139="","à noter",IF(OR(E139&lt;0,E139&gt;10),"hors échelle",IF(AND(F139&lt;&gt;"",F139&gt;E139),"min &gt; valeur",IF(AND(G139&lt;&gt;"",G139&lt;E139),"max &lt; valeur",IF(J139="","sans source","ok"))))))</f>
        <v/>
      </c>
    </row>
    <row r="140" customFormat="false" ht="15" hidden="false" customHeight="false" outlineLevel="0" collapsed="false">
      <c r="A140" s="9"/>
      <c r="B140" s="9"/>
      <c r="C140" s="10" t="str">
        <f aca="false">IFERROR(INDEX(Criteres!$A$2:$A$1000,MATCH(B140,Criteres!$B$2:$B$1000,0)),"")</f>
        <v/>
      </c>
      <c r="D140" s="9"/>
      <c r="E140" s="9"/>
      <c r="F140" s="9"/>
      <c r="G140" s="9"/>
      <c r="H140" s="9"/>
      <c r="I140" s="9"/>
      <c r="J140" s="9"/>
      <c r="K140" s="10" t="str">
        <f aca="false">IF(A140="","",IF(E140="","à noter",IF(OR(E140&lt;0,E140&gt;10),"hors échelle",IF(AND(F140&lt;&gt;"",F140&gt;E140),"min &gt; valeur",IF(AND(G140&lt;&gt;"",G140&lt;E140),"max &lt; valeur",IF(J140="","sans source","ok"))))))</f>
        <v/>
      </c>
    </row>
    <row r="141" customFormat="false" ht="15" hidden="false" customHeight="false" outlineLevel="0" collapsed="false">
      <c r="A141" s="9"/>
      <c r="B141" s="9"/>
      <c r="C141" s="10" t="str">
        <f aca="false">IFERROR(INDEX(Criteres!$A$2:$A$1000,MATCH(B141,Criteres!$B$2:$B$1000,0)),"")</f>
        <v/>
      </c>
      <c r="D141" s="9"/>
      <c r="E141" s="9"/>
      <c r="F141" s="9"/>
      <c r="G141" s="9"/>
      <c r="H141" s="9"/>
      <c r="I141" s="9"/>
      <c r="J141" s="9"/>
      <c r="K141" s="10" t="str">
        <f aca="false">IF(A141="","",IF(E141="","à noter",IF(OR(E141&lt;0,E141&gt;10),"hors échelle",IF(AND(F141&lt;&gt;"",F141&gt;E141),"min &gt; valeur",IF(AND(G141&lt;&gt;"",G141&lt;E141),"max &lt; valeur",IF(J141="","sans source","ok"))))))</f>
        <v/>
      </c>
    </row>
    <row r="142" customFormat="false" ht="15" hidden="false" customHeight="false" outlineLevel="0" collapsed="false">
      <c r="A142" s="9"/>
      <c r="B142" s="9"/>
      <c r="C142" s="10" t="str">
        <f aca="false">IFERROR(INDEX(Criteres!$A$2:$A$1000,MATCH(B142,Criteres!$B$2:$B$1000,0)),"")</f>
        <v/>
      </c>
      <c r="D142" s="9"/>
      <c r="E142" s="9"/>
      <c r="F142" s="9"/>
      <c r="G142" s="9"/>
      <c r="H142" s="9"/>
      <c r="I142" s="9"/>
      <c r="J142" s="9"/>
      <c r="K142" s="10" t="str">
        <f aca="false">IF(A142="","",IF(E142="","à noter",IF(OR(E142&lt;0,E142&gt;10),"hors échelle",IF(AND(F142&lt;&gt;"",F142&gt;E142),"min &gt; valeur",IF(AND(G142&lt;&gt;"",G142&lt;E142),"max &lt; valeur",IF(J142="","sans source","ok"))))))</f>
        <v/>
      </c>
    </row>
    <row r="143" customFormat="false" ht="15" hidden="false" customHeight="false" outlineLevel="0" collapsed="false">
      <c r="A143" s="9"/>
      <c r="B143" s="9"/>
      <c r="C143" s="10" t="str">
        <f aca="false">IFERROR(INDEX(Criteres!$A$2:$A$1000,MATCH(B143,Criteres!$B$2:$B$1000,0)),"")</f>
        <v/>
      </c>
      <c r="D143" s="9"/>
      <c r="E143" s="9"/>
      <c r="F143" s="9"/>
      <c r="G143" s="9"/>
      <c r="H143" s="9"/>
      <c r="I143" s="9"/>
      <c r="J143" s="9"/>
      <c r="K143" s="10" t="str">
        <f aca="false">IF(A143="","",IF(E143="","à noter",IF(OR(E143&lt;0,E143&gt;10),"hors échelle",IF(AND(F143&lt;&gt;"",F143&gt;E143),"min &gt; valeur",IF(AND(G143&lt;&gt;"",G143&lt;E143),"max &lt; valeur",IF(J143="","sans source","ok"))))))</f>
        <v/>
      </c>
    </row>
    <row r="144" customFormat="false" ht="15" hidden="false" customHeight="false" outlineLevel="0" collapsed="false">
      <c r="A144" s="9"/>
      <c r="B144" s="9"/>
      <c r="C144" s="10" t="str">
        <f aca="false">IFERROR(INDEX(Criteres!$A$2:$A$1000,MATCH(B144,Criteres!$B$2:$B$1000,0)),"")</f>
        <v/>
      </c>
      <c r="D144" s="9"/>
      <c r="E144" s="9"/>
      <c r="F144" s="9"/>
      <c r="G144" s="9"/>
      <c r="H144" s="9"/>
      <c r="I144" s="9"/>
      <c r="J144" s="9"/>
      <c r="K144" s="10" t="str">
        <f aca="false">IF(A144="","",IF(E144="","à noter",IF(OR(E144&lt;0,E144&gt;10),"hors échelle",IF(AND(F144&lt;&gt;"",F144&gt;E144),"min &gt; valeur",IF(AND(G144&lt;&gt;"",G144&lt;E144),"max &lt; valeur",IF(J144="","sans source","ok"))))))</f>
        <v/>
      </c>
    </row>
    <row r="145" customFormat="false" ht="15" hidden="false" customHeight="false" outlineLevel="0" collapsed="false">
      <c r="A145" s="9"/>
      <c r="B145" s="9"/>
      <c r="C145" s="10" t="str">
        <f aca="false">IFERROR(INDEX(Criteres!$A$2:$A$1000,MATCH(B145,Criteres!$B$2:$B$1000,0)),"")</f>
        <v/>
      </c>
      <c r="D145" s="9"/>
      <c r="E145" s="9"/>
      <c r="F145" s="9"/>
      <c r="G145" s="9"/>
      <c r="H145" s="9"/>
      <c r="I145" s="9"/>
      <c r="J145" s="9"/>
      <c r="K145" s="10" t="str">
        <f aca="false">IF(A145="","",IF(E145="","à noter",IF(OR(E145&lt;0,E145&gt;10),"hors échelle",IF(AND(F145&lt;&gt;"",F145&gt;E145),"min &gt; valeur",IF(AND(G145&lt;&gt;"",G145&lt;E145),"max &lt; valeur",IF(J145="","sans source","ok"))))))</f>
        <v/>
      </c>
    </row>
    <row r="146" customFormat="false" ht="15" hidden="false" customHeight="false" outlineLevel="0" collapsed="false">
      <c r="A146" s="9"/>
      <c r="B146" s="9"/>
      <c r="C146" s="10" t="str">
        <f aca="false">IFERROR(INDEX(Criteres!$A$2:$A$1000,MATCH(B146,Criteres!$B$2:$B$1000,0)),"")</f>
        <v/>
      </c>
      <c r="D146" s="9"/>
      <c r="E146" s="9"/>
      <c r="F146" s="9"/>
      <c r="G146" s="9"/>
      <c r="H146" s="9"/>
      <c r="I146" s="9"/>
      <c r="J146" s="9"/>
      <c r="K146" s="10" t="str">
        <f aca="false">IF(A146="","",IF(E146="","à noter",IF(OR(E146&lt;0,E146&gt;10),"hors échelle",IF(AND(F146&lt;&gt;"",F146&gt;E146),"min &gt; valeur",IF(AND(G146&lt;&gt;"",G146&lt;E146),"max &lt; valeur",IF(J146="","sans source","ok"))))))</f>
        <v/>
      </c>
    </row>
    <row r="147" customFormat="false" ht="15" hidden="false" customHeight="false" outlineLevel="0" collapsed="false">
      <c r="A147" s="9"/>
      <c r="B147" s="9"/>
      <c r="C147" s="10" t="str">
        <f aca="false">IFERROR(INDEX(Criteres!$A$2:$A$1000,MATCH(B147,Criteres!$B$2:$B$1000,0)),"")</f>
        <v/>
      </c>
      <c r="D147" s="9"/>
      <c r="E147" s="9"/>
      <c r="F147" s="9"/>
      <c r="G147" s="9"/>
      <c r="H147" s="9"/>
      <c r="I147" s="9"/>
      <c r="J147" s="9"/>
      <c r="K147" s="10" t="str">
        <f aca="false">IF(A147="","",IF(E147="","à noter",IF(OR(E147&lt;0,E147&gt;10),"hors échelle",IF(AND(F147&lt;&gt;"",F147&gt;E147),"min &gt; valeur",IF(AND(G147&lt;&gt;"",G147&lt;E147),"max &lt; valeur",IF(J147="","sans source","ok"))))))</f>
        <v/>
      </c>
    </row>
    <row r="148" customFormat="false" ht="15" hidden="false" customHeight="false" outlineLevel="0" collapsed="false">
      <c r="A148" s="9"/>
      <c r="B148" s="9"/>
      <c r="C148" s="10" t="str">
        <f aca="false">IFERROR(INDEX(Criteres!$A$2:$A$1000,MATCH(B148,Criteres!$B$2:$B$1000,0)),"")</f>
        <v/>
      </c>
      <c r="D148" s="9"/>
      <c r="E148" s="9"/>
      <c r="F148" s="9"/>
      <c r="G148" s="9"/>
      <c r="H148" s="9"/>
      <c r="I148" s="9"/>
      <c r="J148" s="9"/>
      <c r="K148" s="10" t="str">
        <f aca="false">IF(A148="","",IF(E148="","à noter",IF(OR(E148&lt;0,E148&gt;10),"hors échelle",IF(AND(F148&lt;&gt;"",F148&gt;E148),"min &gt; valeur",IF(AND(G148&lt;&gt;"",G148&lt;E148),"max &lt; valeur",IF(J148="","sans source","ok"))))))</f>
        <v/>
      </c>
    </row>
    <row r="149" customFormat="false" ht="15" hidden="false" customHeight="false" outlineLevel="0" collapsed="false">
      <c r="A149" s="9"/>
      <c r="B149" s="9"/>
      <c r="C149" s="10" t="str">
        <f aca="false">IFERROR(INDEX(Criteres!$A$2:$A$1000,MATCH(B149,Criteres!$B$2:$B$1000,0)),"")</f>
        <v/>
      </c>
      <c r="D149" s="9"/>
      <c r="E149" s="9"/>
      <c r="F149" s="9"/>
      <c r="G149" s="9"/>
      <c r="H149" s="9"/>
      <c r="I149" s="9"/>
      <c r="J149" s="9"/>
      <c r="K149" s="10" t="str">
        <f aca="false">IF(A149="","",IF(E149="","à noter",IF(OR(E149&lt;0,E149&gt;10),"hors échelle",IF(AND(F149&lt;&gt;"",F149&gt;E149),"min &gt; valeur",IF(AND(G149&lt;&gt;"",G149&lt;E149),"max &lt; valeur",IF(J149="","sans source","ok"))))))</f>
        <v/>
      </c>
    </row>
    <row r="150" customFormat="false" ht="15" hidden="false" customHeight="false" outlineLevel="0" collapsed="false">
      <c r="A150" s="9"/>
      <c r="B150" s="9"/>
      <c r="C150" s="10" t="str">
        <f aca="false">IFERROR(INDEX(Criteres!$A$2:$A$1000,MATCH(B150,Criteres!$B$2:$B$1000,0)),"")</f>
        <v/>
      </c>
      <c r="D150" s="9"/>
      <c r="E150" s="9"/>
      <c r="F150" s="9"/>
      <c r="G150" s="9"/>
      <c r="H150" s="9"/>
      <c r="I150" s="9"/>
      <c r="J150" s="9"/>
      <c r="K150" s="10" t="str">
        <f aca="false">IF(A150="","",IF(E150="","à noter",IF(OR(E150&lt;0,E150&gt;10),"hors échelle",IF(AND(F150&lt;&gt;"",F150&gt;E150),"min &gt; valeur",IF(AND(G150&lt;&gt;"",G150&lt;E150),"max &lt; valeur",IF(J150="","sans source","ok"))))))</f>
        <v/>
      </c>
    </row>
    <row r="151" customFormat="false" ht="15" hidden="false" customHeight="false" outlineLevel="0" collapsed="false">
      <c r="A151" s="9"/>
      <c r="B151" s="9"/>
      <c r="C151" s="10" t="str">
        <f aca="false">IFERROR(INDEX(Criteres!$A$2:$A$1000,MATCH(B151,Criteres!$B$2:$B$1000,0)),"")</f>
        <v/>
      </c>
      <c r="D151" s="9"/>
      <c r="E151" s="9"/>
      <c r="F151" s="9"/>
      <c r="G151" s="9"/>
      <c r="H151" s="9"/>
      <c r="I151" s="9"/>
      <c r="J151" s="9"/>
      <c r="K151" s="10" t="str">
        <f aca="false">IF(A151="","",IF(E151="","à noter",IF(OR(E151&lt;0,E151&gt;10),"hors échelle",IF(AND(F151&lt;&gt;"",F151&gt;E151),"min &gt; valeur",IF(AND(G151&lt;&gt;"",G151&lt;E151),"max &lt; valeur",IF(J151="","sans source","ok"))))))</f>
        <v/>
      </c>
    </row>
    <row r="152" customFormat="false" ht="15" hidden="false" customHeight="false" outlineLevel="0" collapsed="false">
      <c r="A152" s="9"/>
      <c r="B152" s="9"/>
      <c r="C152" s="10" t="str">
        <f aca="false">IFERROR(INDEX(Criteres!$A$2:$A$1000,MATCH(B152,Criteres!$B$2:$B$1000,0)),"")</f>
        <v/>
      </c>
      <c r="D152" s="9"/>
      <c r="E152" s="9"/>
      <c r="F152" s="9"/>
      <c r="G152" s="9"/>
      <c r="H152" s="9"/>
      <c r="I152" s="9"/>
      <c r="J152" s="9"/>
      <c r="K152" s="10" t="str">
        <f aca="false">IF(A152="","",IF(E152="","à noter",IF(OR(E152&lt;0,E152&gt;10),"hors échelle",IF(AND(F152&lt;&gt;"",F152&gt;E152),"min &gt; valeur",IF(AND(G152&lt;&gt;"",G152&lt;E152),"max &lt; valeur",IF(J152="","sans source","ok"))))))</f>
        <v/>
      </c>
    </row>
    <row r="153" customFormat="false" ht="15" hidden="false" customHeight="false" outlineLevel="0" collapsed="false">
      <c r="A153" s="9"/>
      <c r="B153" s="9"/>
      <c r="C153" s="10" t="str">
        <f aca="false">IFERROR(INDEX(Criteres!$A$2:$A$1000,MATCH(B153,Criteres!$B$2:$B$1000,0)),"")</f>
        <v/>
      </c>
      <c r="D153" s="9"/>
      <c r="E153" s="9"/>
      <c r="F153" s="9"/>
      <c r="G153" s="9"/>
      <c r="H153" s="9"/>
      <c r="I153" s="9"/>
      <c r="J153" s="9"/>
      <c r="K153" s="10" t="str">
        <f aca="false">IF(A153="","",IF(E153="","à noter",IF(OR(E153&lt;0,E153&gt;10),"hors échelle",IF(AND(F153&lt;&gt;"",F153&gt;E153),"min &gt; valeur",IF(AND(G153&lt;&gt;"",G153&lt;E153),"max &lt; valeur",IF(J153="","sans source","ok"))))))</f>
        <v/>
      </c>
    </row>
    <row r="154" customFormat="false" ht="15" hidden="false" customHeight="false" outlineLevel="0" collapsed="false">
      <c r="A154" s="9"/>
      <c r="B154" s="9"/>
      <c r="C154" s="10" t="str">
        <f aca="false">IFERROR(INDEX(Criteres!$A$2:$A$1000,MATCH(B154,Criteres!$B$2:$B$1000,0)),"")</f>
        <v/>
      </c>
      <c r="D154" s="9"/>
      <c r="E154" s="9"/>
      <c r="F154" s="9"/>
      <c r="G154" s="9"/>
      <c r="H154" s="9"/>
      <c r="I154" s="9"/>
      <c r="J154" s="9"/>
      <c r="K154" s="10" t="str">
        <f aca="false">IF(A154="","",IF(E154="","à noter",IF(OR(E154&lt;0,E154&gt;10),"hors échelle",IF(AND(F154&lt;&gt;"",F154&gt;E154),"min &gt; valeur",IF(AND(G154&lt;&gt;"",G154&lt;E154),"max &lt; valeur",IF(J154="","sans source","ok"))))))</f>
        <v/>
      </c>
    </row>
    <row r="155" customFormat="false" ht="15" hidden="false" customHeight="false" outlineLevel="0" collapsed="false">
      <c r="A155" s="9"/>
      <c r="B155" s="9"/>
      <c r="C155" s="10" t="str">
        <f aca="false">IFERROR(INDEX(Criteres!$A$2:$A$1000,MATCH(B155,Criteres!$B$2:$B$1000,0)),"")</f>
        <v/>
      </c>
      <c r="D155" s="9"/>
      <c r="E155" s="9"/>
      <c r="F155" s="9"/>
      <c r="G155" s="9"/>
      <c r="H155" s="9"/>
      <c r="I155" s="9"/>
      <c r="J155" s="9"/>
      <c r="K155" s="10" t="str">
        <f aca="false">IF(A155="","",IF(E155="","à noter",IF(OR(E155&lt;0,E155&gt;10),"hors échelle",IF(AND(F155&lt;&gt;"",F155&gt;E155),"min &gt; valeur",IF(AND(G155&lt;&gt;"",G155&lt;E155),"max &lt; valeur",IF(J155="","sans source","ok"))))))</f>
        <v/>
      </c>
    </row>
    <row r="156" customFormat="false" ht="15" hidden="false" customHeight="false" outlineLevel="0" collapsed="false">
      <c r="A156" s="9"/>
      <c r="B156" s="9"/>
      <c r="C156" s="10" t="str">
        <f aca="false">IFERROR(INDEX(Criteres!$A$2:$A$1000,MATCH(B156,Criteres!$B$2:$B$1000,0)),"")</f>
        <v/>
      </c>
      <c r="D156" s="9"/>
      <c r="E156" s="9"/>
      <c r="F156" s="9"/>
      <c r="G156" s="9"/>
      <c r="H156" s="9"/>
      <c r="I156" s="9"/>
      <c r="J156" s="9"/>
      <c r="K156" s="10" t="str">
        <f aca="false">IF(A156="","",IF(E156="","à noter",IF(OR(E156&lt;0,E156&gt;10),"hors échelle",IF(AND(F156&lt;&gt;"",F156&gt;E156),"min &gt; valeur",IF(AND(G156&lt;&gt;"",G156&lt;E156),"max &lt; valeur",IF(J156="","sans source","ok"))))))</f>
        <v/>
      </c>
    </row>
    <row r="157" customFormat="false" ht="15" hidden="false" customHeight="false" outlineLevel="0" collapsed="false">
      <c r="A157" s="9"/>
      <c r="B157" s="9"/>
      <c r="C157" s="10" t="str">
        <f aca="false">IFERROR(INDEX(Criteres!$A$2:$A$1000,MATCH(B157,Criteres!$B$2:$B$1000,0)),"")</f>
        <v/>
      </c>
      <c r="D157" s="9"/>
      <c r="E157" s="9"/>
      <c r="F157" s="9"/>
      <c r="G157" s="9"/>
      <c r="H157" s="9"/>
      <c r="I157" s="9"/>
      <c r="J157" s="9"/>
      <c r="K157" s="10" t="str">
        <f aca="false">IF(A157="","",IF(E157="","à noter",IF(OR(E157&lt;0,E157&gt;10),"hors échelle",IF(AND(F157&lt;&gt;"",F157&gt;E157),"min &gt; valeur",IF(AND(G157&lt;&gt;"",G157&lt;E157),"max &lt; valeur",IF(J157="","sans source","ok"))))))</f>
        <v/>
      </c>
    </row>
    <row r="158" customFormat="false" ht="15" hidden="false" customHeight="false" outlineLevel="0" collapsed="false">
      <c r="A158" s="9"/>
      <c r="B158" s="9"/>
      <c r="C158" s="10" t="str">
        <f aca="false">IFERROR(INDEX(Criteres!$A$2:$A$1000,MATCH(B158,Criteres!$B$2:$B$1000,0)),"")</f>
        <v/>
      </c>
      <c r="D158" s="9"/>
      <c r="E158" s="9"/>
      <c r="F158" s="9"/>
      <c r="G158" s="9"/>
      <c r="H158" s="9"/>
      <c r="I158" s="9"/>
      <c r="J158" s="9"/>
      <c r="K158" s="10" t="str">
        <f aca="false">IF(A158="","",IF(E158="","à noter",IF(OR(E158&lt;0,E158&gt;10),"hors échelle",IF(AND(F158&lt;&gt;"",F158&gt;E158),"min &gt; valeur",IF(AND(G158&lt;&gt;"",G158&lt;E158),"max &lt; valeur",IF(J158="","sans source","ok"))))))</f>
        <v/>
      </c>
    </row>
    <row r="159" customFormat="false" ht="15" hidden="false" customHeight="false" outlineLevel="0" collapsed="false">
      <c r="A159" s="9"/>
      <c r="B159" s="9"/>
      <c r="C159" s="10" t="str">
        <f aca="false">IFERROR(INDEX(Criteres!$A$2:$A$1000,MATCH(B159,Criteres!$B$2:$B$1000,0)),"")</f>
        <v/>
      </c>
      <c r="D159" s="9"/>
      <c r="E159" s="9"/>
      <c r="F159" s="9"/>
      <c r="G159" s="9"/>
      <c r="H159" s="9"/>
      <c r="I159" s="9"/>
      <c r="J159" s="9"/>
      <c r="K159" s="10" t="str">
        <f aca="false">IF(A159="","",IF(E159="","à noter",IF(OR(E159&lt;0,E159&gt;10),"hors échelle",IF(AND(F159&lt;&gt;"",F159&gt;E159),"min &gt; valeur",IF(AND(G159&lt;&gt;"",G159&lt;E159),"max &lt; valeur",IF(J159="","sans source","ok"))))))</f>
        <v/>
      </c>
    </row>
    <row r="160" customFormat="false" ht="15" hidden="false" customHeight="false" outlineLevel="0" collapsed="false">
      <c r="A160" s="9"/>
      <c r="B160" s="9"/>
      <c r="C160" s="10" t="str">
        <f aca="false">IFERROR(INDEX(Criteres!$A$2:$A$1000,MATCH(B160,Criteres!$B$2:$B$1000,0)),"")</f>
        <v/>
      </c>
      <c r="D160" s="9"/>
      <c r="E160" s="9"/>
      <c r="F160" s="9"/>
      <c r="G160" s="9"/>
      <c r="H160" s="9"/>
      <c r="I160" s="9"/>
      <c r="J160" s="9"/>
      <c r="K160" s="10" t="str">
        <f aca="false">IF(A160="","",IF(E160="","à noter",IF(OR(E160&lt;0,E160&gt;10),"hors échelle",IF(AND(F160&lt;&gt;"",F160&gt;E160),"min &gt; valeur",IF(AND(G160&lt;&gt;"",G160&lt;E160),"max &lt; valeur",IF(J160="","sans source","ok"))))))</f>
        <v/>
      </c>
    </row>
    <row r="161" customFormat="false" ht="15" hidden="false" customHeight="false" outlineLevel="0" collapsed="false">
      <c r="A161" s="9"/>
      <c r="B161" s="9"/>
      <c r="C161" s="10" t="str">
        <f aca="false">IFERROR(INDEX(Criteres!$A$2:$A$1000,MATCH(B161,Criteres!$B$2:$B$1000,0)),"")</f>
        <v/>
      </c>
      <c r="D161" s="9"/>
      <c r="E161" s="9"/>
      <c r="F161" s="9"/>
      <c r="G161" s="9"/>
      <c r="H161" s="9"/>
      <c r="I161" s="9"/>
      <c r="J161" s="9"/>
      <c r="K161" s="10" t="str">
        <f aca="false">IF(A161="","",IF(E161="","à noter",IF(OR(E161&lt;0,E161&gt;10),"hors échelle",IF(AND(F161&lt;&gt;"",F161&gt;E161),"min &gt; valeur",IF(AND(G161&lt;&gt;"",G161&lt;E161),"max &lt; valeur",IF(J161="","sans source","ok"))))))</f>
        <v/>
      </c>
    </row>
    <row r="162" customFormat="false" ht="15" hidden="false" customHeight="false" outlineLevel="0" collapsed="false">
      <c r="A162" s="9"/>
      <c r="B162" s="9"/>
      <c r="C162" s="10" t="str">
        <f aca="false">IFERROR(INDEX(Criteres!$A$2:$A$1000,MATCH(B162,Criteres!$B$2:$B$1000,0)),"")</f>
        <v/>
      </c>
      <c r="D162" s="9"/>
      <c r="E162" s="9"/>
      <c r="F162" s="9"/>
      <c r="G162" s="9"/>
      <c r="H162" s="9"/>
      <c r="I162" s="9"/>
      <c r="J162" s="9"/>
      <c r="K162" s="10" t="str">
        <f aca="false">IF(A162="","",IF(E162="","à noter",IF(OR(E162&lt;0,E162&gt;10),"hors échelle",IF(AND(F162&lt;&gt;"",F162&gt;E162),"min &gt; valeur",IF(AND(G162&lt;&gt;"",G162&lt;E162),"max &lt; valeur",IF(J162="","sans source","ok"))))))</f>
        <v/>
      </c>
    </row>
    <row r="163" customFormat="false" ht="15" hidden="false" customHeight="false" outlineLevel="0" collapsed="false">
      <c r="A163" s="9"/>
      <c r="B163" s="9"/>
      <c r="C163" s="10" t="str">
        <f aca="false">IFERROR(INDEX(Criteres!$A$2:$A$1000,MATCH(B163,Criteres!$B$2:$B$1000,0)),"")</f>
        <v/>
      </c>
      <c r="D163" s="9"/>
      <c r="E163" s="9"/>
      <c r="F163" s="9"/>
      <c r="G163" s="9"/>
      <c r="H163" s="9"/>
      <c r="I163" s="9"/>
      <c r="J163" s="9"/>
      <c r="K163" s="10" t="str">
        <f aca="false">IF(A163="","",IF(E163="","à noter",IF(OR(E163&lt;0,E163&gt;10),"hors échelle",IF(AND(F163&lt;&gt;"",F163&gt;E163),"min &gt; valeur",IF(AND(G163&lt;&gt;"",G163&lt;E163),"max &lt; valeur",IF(J163="","sans source","ok"))))))</f>
        <v/>
      </c>
    </row>
    <row r="164" customFormat="false" ht="15" hidden="false" customHeight="false" outlineLevel="0" collapsed="false">
      <c r="A164" s="9"/>
      <c r="B164" s="9"/>
      <c r="C164" s="10" t="str">
        <f aca="false">IFERROR(INDEX(Criteres!$A$2:$A$1000,MATCH(B164,Criteres!$B$2:$B$1000,0)),"")</f>
        <v/>
      </c>
      <c r="D164" s="9"/>
      <c r="E164" s="9"/>
      <c r="F164" s="9"/>
      <c r="G164" s="9"/>
      <c r="H164" s="9"/>
      <c r="I164" s="9"/>
      <c r="J164" s="9"/>
      <c r="K164" s="10" t="str">
        <f aca="false">IF(A164="","",IF(E164="","à noter",IF(OR(E164&lt;0,E164&gt;10),"hors échelle",IF(AND(F164&lt;&gt;"",F164&gt;E164),"min &gt; valeur",IF(AND(G164&lt;&gt;"",G164&lt;E164),"max &lt; valeur",IF(J164="","sans source","ok"))))))</f>
        <v/>
      </c>
    </row>
    <row r="165" customFormat="false" ht="15" hidden="false" customHeight="false" outlineLevel="0" collapsed="false">
      <c r="A165" s="9"/>
      <c r="B165" s="9"/>
      <c r="C165" s="10" t="str">
        <f aca="false">IFERROR(INDEX(Criteres!$A$2:$A$1000,MATCH(B165,Criteres!$B$2:$B$1000,0)),"")</f>
        <v/>
      </c>
      <c r="D165" s="9"/>
      <c r="E165" s="9"/>
      <c r="F165" s="9"/>
      <c r="G165" s="9"/>
      <c r="H165" s="9"/>
      <c r="I165" s="9"/>
      <c r="J165" s="9"/>
      <c r="K165" s="10" t="str">
        <f aca="false">IF(A165="","",IF(E165="","à noter",IF(OR(E165&lt;0,E165&gt;10),"hors échelle",IF(AND(F165&lt;&gt;"",F165&gt;E165),"min &gt; valeur",IF(AND(G165&lt;&gt;"",G165&lt;E165),"max &lt; valeur",IF(J165="","sans source","ok"))))))</f>
        <v/>
      </c>
    </row>
    <row r="166" customFormat="false" ht="15" hidden="false" customHeight="false" outlineLevel="0" collapsed="false">
      <c r="A166" s="9"/>
      <c r="B166" s="9"/>
      <c r="C166" s="10" t="str">
        <f aca="false">IFERROR(INDEX(Criteres!$A$2:$A$1000,MATCH(B166,Criteres!$B$2:$B$1000,0)),"")</f>
        <v/>
      </c>
      <c r="D166" s="9"/>
      <c r="E166" s="9"/>
      <c r="F166" s="9"/>
      <c r="G166" s="9"/>
      <c r="H166" s="9"/>
      <c r="I166" s="9"/>
      <c r="J166" s="9"/>
      <c r="K166" s="10" t="str">
        <f aca="false">IF(A166="","",IF(E166="","à noter",IF(OR(E166&lt;0,E166&gt;10),"hors échelle",IF(AND(F166&lt;&gt;"",F166&gt;E166),"min &gt; valeur",IF(AND(G166&lt;&gt;"",G166&lt;E166),"max &lt; valeur",IF(J166="","sans source","ok"))))))</f>
        <v/>
      </c>
    </row>
    <row r="167" customFormat="false" ht="15" hidden="false" customHeight="false" outlineLevel="0" collapsed="false">
      <c r="A167" s="9"/>
      <c r="B167" s="9"/>
      <c r="C167" s="10" t="str">
        <f aca="false">IFERROR(INDEX(Criteres!$A$2:$A$1000,MATCH(B167,Criteres!$B$2:$B$1000,0)),"")</f>
        <v/>
      </c>
      <c r="D167" s="9"/>
      <c r="E167" s="9"/>
      <c r="F167" s="9"/>
      <c r="G167" s="9"/>
      <c r="H167" s="9"/>
      <c r="I167" s="9"/>
      <c r="J167" s="9"/>
      <c r="K167" s="10" t="str">
        <f aca="false">IF(A167="","",IF(E167="","à noter",IF(OR(E167&lt;0,E167&gt;10),"hors échelle",IF(AND(F167&lt;&gt;"",F167&gt;E167),"min &gt; valeur",IF(AND(G167&lt;&gt;"",G167&lt;E167),"max &lt; valeur",IF(J167="","sans source","ok"))))))</f>
        <v/>
      </c>
    </row>
    <row r="168" customFormat="false" ht="15" hidden="false" customHeight="false" outlineLevel="0" collapsed="false">
      <c r="A168" s="9"/>
      <c r="B168" s="9"/>
      <c r="C168" s="10" t="str">
        <f aca="false">IFERROR(INDEX(Criteres!$A$2:$A$1000,MATCH(B168,Criteres!$B$2:$B$1000,0)),"")</f>
        <v/>
      </c>
      <c r="D168" s="9"/>
      <c r="E168" s="9"/>
      <c r="F168" s="9"/>
      <c r="G168" s="9"/>
      <c r="H168" s="9"/>
      <c r="I168" s="9"/>
      <c r="J168" s="9"/>
      <c r="K168" s="10" t="str">
        <f aca="false">IF(A168="","",IF(E168="","à noter",IF(OR(E168&lt;0,E168&gt;10),"hors échelle",IF(AND(F168&lt;&gt;"",F168&gt;E168),"min &gt; valeur",IF(AND(G168&lt;&gt;"",G168&lt;E168),"max &lt; valeur",IF(J168="","sans source","ok"))))))</f>
        <v/>
      </c>
    </row>
    <row r="169" customFormat="false" ht="15" hidden="false" customHeight="false" outlineLevel="0" collapsed="false">
      <c r="A169" s="9"/>
      <c r="B169" s="9"/>
      <c r="C169" s="10" t="str">
        <f aca="false">IFERROR(INDEX(Criteres!$A$2:$A$1000,MATCH(B169,Criteres!$B$2:$B$1000,0)),"")</f>
        <v/>
      </c>
      <c r="D169" s="9"/>
      <c r="E169" s="9"/>
      <c r="F169" s="9"/>
      <c r="G169" s="9"/>
      <c r="H169" s="9"/>
      <c r="I169" s="9"/>
      <c r="J169" s="9"/>
      <c r="K169" s="10" t="str">
        <f aca="false">IF(A169="","",IF(E169="","à noter",IF(OR(E169&lt;0,E169&gt;10),"hors échelle",IF(AND(F169&lt;&gt;"",F169&gt;E169),"min &gt; valeur",IF(AND(G169&lt;&gt;"",G169&lt;E169),"max &lt; valeur",IF(J169="","sans source","ok"))))))</f>
        <v/>
      </c>
    </row>
    <row r="170" customFormat="false" ht="15" hidden="false" customHeight="false" outlineLevel="0" collapsed="false">
      <c r="A170" s="9"/>
      <c r="B170" s="9"/>
      <c r="C170" s="10" t="str">
        <f aca="false">IFERROR(INDEX(Criteres!$A$2:$A$1000,MATCH(B170,Criteres!$B$2:$B$1000,0)),"")</f>
        <v/>
      </c>
      <c r="D170" s="9"/>
      <c r="E170" s="9"/>
      <c r="F170" s="9"/>
      <c r="G170" s="9"/>
      <c r="H170" s="9"/>
      <c r="I170" s="9"/>
      <c r="J170" s="9"/>
      <c r="K170" s="10" t="str">
        <f aca="false">IF(A170="","",IF(E170="","à noter",IF(OR(E170&lt;0,E170&gt;10),"hors échelle",IF(AND(F170&lt;&gt;"",F170&gt;E170),"min &gt; valeur",IF(AND(G170&lt;&gt;"",G170&lt;E170),"max &lt; valeur",IF(J170="","sans source","ok"))))))</f>
        <v/>
      </c>
    </row>
    <row r="171" customFormat="false" ht="15" hidden="false" customHeight="false" outlineLevel="0" collapsed="false">
      <c r="A171" s="9"/>
      <c r="B171" s="9"/>
      <c r="C171" s="10" t="str">
        <f aca="false">IFERROR(INDEX(Criteres!$A$2:$A$1000,MATCH(B171,Criteres!$B$2:$B$1000,0)),"")</f>
        <v/>
      </c>
      <c r="D171" s="9"/>
      <c r="E171" s="9"/>
      <c r="F171" s="9"/>
      <c r="G171" s="9"/>
      <c r="H171" s="9"/>
      <c r="I171" s="9"/>
      <c r="J171" s="9"/>
      <c r="K171" s="10" t="str">
        <f aca="false">IF(A171="","",IF(E171="","à noter",IF(OR(E171&lt;0,E171&gt;10),"hors échelle",IF(AND(F171&lt;&gt;"",F171&gt;E171),"min &gt; valeur",IF(AND(G171&lt;&gt;"",G171&lt;E171),"max &lt; valeur",IF(J171="","sans source","ok"))))))</f>
        <v/>
      </c>
    </row>
    <row r="172" customFormat="false" ht="15" hidden="false" customHeight="false" outlineLevel="0" collapsed="false">
      <c r="A172" s="9"/>
      <c r="B172" s="9"/>
      <c r="C172" s="10" t="str">
        <f aca="false">IFERROR(INDEX(Criteres!$A$2:$A$1000,MATCH(B172,Criteres!$B$2:$B$1000,0)),"")</f>
        <v/>
      </c>
      <c r="D172" s="9"/>
      <c r="E172" s="9"/>
      <c r="F172" s="9"/>
      <c r="G172" s="9"/>
      <c r="H172" s="9"/>
      <c r="I172" s="9"/>
      <c r="J172" s="9"/>
      <c r="K172" s="10" t="str">
        <f aca="false">IF(A172="","",IF(E172="","à noter",IF(OR(E172&lt;0,E172&gt;10),"hors échelle",IF(AND(F172&lt;&gt;"",F172&gt;E172),"min &gt; valeur",IF(AND(G172&lt;&gt;"",G172&lt;E172),"max &lt; valeur",IF(J172="","sans source","ok"))))))</f>
        <v/>
      </c>
    </row>
    <row r="173" customFormat="false" ht="15" hidden="false" customHeight="false" outlineLevel="0" collapsed="false">
      <c r="A173" s="9"/>
      <c r="B173" s="9"/>
      <c r="C173" s="10" t="str">
        <f aca="false">IFERROR(INDEX(Criteres!$A$2:$A$1000,MATCH(B173,Criteres!$B$2:$B$1000,0)),"")</f>
        <v/>
      </c>
      <c r="D173" s="9"/>
      <c r="E173" s="9"/>
      <c r="F173" s="9"/>
      <c r="G173" s="9"/>
      <c r="H173" s="9"/>
      <c r="I173" s="9"/>
      <c r="J173" s="9"/>
      <c r="K173" s="10" t="str">
        <f aca="false">IF(A173="","",IF(E173="","à noter",IF(OR(E173&lt;0,E173&gt;10),"hors échelle",IF(AND(F173&lt;&gt;"",F173&gt;E173),"min &gt; valeur",IF(AND(G173&lt;&gt;"",G173&lt;E173),"max &lt; valeur",IF(J173="","sans source","ok"))))))</f>
        <v/>
      </c>
    </row>
    <row r="174" customFormat="false" ht="15" hidden="false" customHeight="false" outlineLevel="0" collapsed="false">
      <c r="A174" s="9"/>
      <c r="B174" s="9"/>
      <c r="C174" s="10" t="str">
        <f aca="false">IFERROR(INDEX(Criteres!$A$2:$A$1000,MATCH(B174,Criteres!$B$2:$B$1000,0)),"")</f>
        <v/>
      </c>
      <c r="D174" s="9"/>
      <c r="E174" s="9"/>
      <c r="F174" s="9"/>
      <c r="G174" s="9"/>
      <c r="H174" s="9"/>
      <c r="I174" s="9"/>
      <c r="J174" s="9"/>
      <c r="K174" s="10" t="str">
        <f aca="false">IF(A174="","",IF(E174="","à noter",IF(OR(E174&lt;0,E174&gt;10),"hors échelle",IF(AND(F174&lt;&gt;"",F174&gt;E174),"min &gt; valeur",IF(AND(G174&lt;&gt;"",G174&lt;E174),"max &lt; valeur",IF(J174="","sans source","ok"))))))</f>
        <v/>
      </c>
    </row>
    <row r="175" customFormat="false" ht="15" hidden="false" customHeight="false" outlineLevel="0" collapsed="false">
      <c r="A175" s="9"/>
      <c r="B175" s="9"/>
      <c r="C175" s="10" t="str">
        <f aca="false">IFERROR(INDEX(Criteres!$A$2:$A$1000,MATCH(B175,Criteres!$B$2:$B$1000,0)),"")</f>
        <v/>
      </c>
      <c r="D175" s="9"/>
      <c r="E175" s="9"/>
      <c r="F175" s="9"/>
      <c r="G175" s="9"/>
      <c r="H175" s="9"/>
      <c r="I175" s="9"/>
      <c r="J175" s="9"/>
      <c r="K175" s="10" t="str">
        <f aca="false">IF(A175="","",IF(E175="","à noter",IF(OR(E175&lt;0,E175&gt;10),"hors échelle",IF(AND(F175&lt;&gt;"",F175&gt;E175),"min &gt; valeur",IF(AND(G175&lt;&gt;"",G175&lt;E175),"max &lt; valeur",IF(J175="","sans source","ok"))))))</f>
        <v/>
      </c>
    </row>
    <row r="176" customFormat="false" ht="15" hidden="false" customHeight="false" outlineLevel="0" collapsed="false">
      <c r="A176" s="9"/>
      <c r="B176" s="9"/>
      <c r="C176" s="10" t="str">
        <f aca="false">IFERROR(INDEX(Criteres!$A$2:$A$1000,MATCH(B176,Criteres!$B$2:$B$1000,0)),"")</f>
        <v/>
      </c>
      <c r="D176" s="9"/>
      <c r="E176" s="9"/>
      <c r="F176" s="9"/>
      <c r="G176" s="9"/>
      <c r="H176" s="9"/>
      <c r="I176" s="9"/>
      <c r="J176" s="9"/>
      <c r="K176" s="10" t="str">
        <f aca="false">IF(A176="","",IF(E176="","à noter",IF(OR(E176&lt;0,E176&gt;10),"hors échelle",IF(AND(F176&lt;&gt;"",F176&gt;E176),"min &gt; valeur",IF(AND(G176&lt;&gt;"",G176&lt;E176),"max &lt; valeur",IF(J176="","sans source","ok"))))))</f>
        <v/>
      </c>
    </row>
    <row r="177" customFormat="false" ht="15" hidden="false" customHeight="false" outlineLevel="0" collapsed="false">
      <c r="A177" s="9"/>
      <c r="B177" s="9"/>
      <c r="C177" s="10" t="str">
        <f aca="false">IFERROR(INDEX(Criteres!$A$2:$A$1000,MATCH(B177,Criteres!$B$2:$B$1000,0)),"")</f>
        <v/>
      </c>
      <c r="D177" s="9"/>
      <c r="E177" s="9"/>
      <c r="F177" s="9"/>
      <c r="G177" s="9"/>
      <c r="H177" s="9"/>
      <c r="I177" s="9"/>
      <c r="J177" s="9"/>
      <c r="K177" s="10" t="str">
        <f aca="false">IF(A177="","",IF(E177="","à noter",IF(OR(E177&lt;0,E177&gt;10),"hors échelle",IF(AND(F177&lt;&gt;"",F177&gt;E177),"min &gt; valeur",IF(AND(G177&lt;&gt;"",G177&lt;E177),"max &lt; valeur",IF(J177="","sans source","ok"))))))</f>
        <v/>
      </c>
    </row>
    <row r="178" customFormat="false" ht="15" hidden="false" customHeight="false" outlineLevel="0" collapsed="false">
      <c r="A178" s="9"/>
      <c r="B178" s="9"/>
      <c r="C178" s="10" t="str">
        <f aca="false">IFERROR(INDEX(Criteres!$A$2:$A$1000,MATCH(B178,Criteres!$B$2:$B$1000,0)),"")</f>
        <v/>
      </c>
      <c r="D178" s="9"/>
      <c r="E178" s="9"/>
      <c r="F178" s="9"/>
      <c r="G178" s="9"/>
      <c r="H178" s="9"/>
      <c r="I178" s="9"/>
      <c r="J178" s="9"/>
      <c r="K178" s="10" t="str">
        <f aca="false">IF(A178="","",IF(E178="","à noter",IF(OR(E178&lt;0,E178&gt;10),"hors échelle",IF(AND(F178&lt;&gt;"",F178&gt;E178),"min &gt; valeur",IF(AND(G178&lt;&gt;"",G178&lt;E178),"max &lt; valeur",IF(J178="","sans source","ok"))))))</f>
        <v/>
      </c>
    </row>
    <row r="179" customFormat="false" ht="15" hidden="false" customHeight="false" outlineLevel="0" collapsed="false">
      <c r="A179" s="9"/>
      <c r="B179" s="9"/>
      <c r="C179" s="10" t="str">
        <f aca="false">IFERROR(INDEX(Criteres!$A$2:$A$1000,MATCH(B179,Criteres!$B$2:$B$1000,0)),"")</f>
        <v/>
      </c>
      <c r="D179" s="9"/>
      <c r="E179" s="9"/>
      <c r="F179" s="9"/>
      <c r="G179" s="9"/>
      <c r="H179" s="9"/>
      <c r="I179" s="9"/>
      <c r="J179" s="9"/>
      <c r="K179" s="10" t="str">
        <f aca="false">IF(A179="","",IF(E179="","à noter",IF(OR(E179&lt;0,E179&gt;10),"hors échelle",IF(AND(F179&lt;&gt;"",F179&gt;E179),"min &gt; valeur",IF(AND(G179&lt;&gt;"",G179&lt;E179),"max &lt; valeur",IF(J179="","sans source","ok"))))))</f>
        <v/>
      </c>
    </row>
    <row r="180" customFormat="false" ht="15" hidden="false" customHeight="false" outlineLevel="0" collapsed="false">
      <c r="A180" s="9"/>
      <c r="B180" s="9"/>
      <c r="C180" s="10" t="str">
        <f aca="false">IFERROR(INDEX(Criteres!$A$2:$A$1000,MATCH(B180,Criteres!$B$2:$B$1000,0)),"")</f>
        <v/>
      </c>
      <c r="D180" s="9"/>
      <c r="E180" s="9"/>
      <c r="F180" s="9"/>
      <c r="G180" s="9"/>
      <c r="H180" s="9"/>
      <c r="I180" s="9"/>
      <c r="J180" s="9"/>
      <c r="K180" s="10" t="str">
        <f aca="false">IF(A180="","",IF(E180="","à noter",IF(OR(E180&lt;0,E180&gt;10),"hors échelle",IF(AND(F180&lt;&gt;"",F180&gt;E180),"min &gt; valeur",IF(AND(G180&lt;&gt;"",G180&lt;E180),"max &lt; valeur",IF(J180="","sans source","ok"))))))</f>
        <v/>
      </c>
    </row>
    <row r="181" customFormat="false" ht="15" hidden="false" customHeight="false" outlineLevel="0" collapsed="false">
      <c r="A181" s="9"/>
      <c r="B181" s="9"/>
      <c r="C181" s="10" t="str">
        <f aca="false">IFERROR(INDEX(Criteres!$A$2:$A$1000,MATCH(B181,Criteres!$B$2:$B$1000,0)),"")</f>
        <v/>
      </c>
      <c r="D181" s="9"/>
      <c r="E181" s="9"/>
      <c r="F181" s="9"/>
      <c r="G181" s="9"/>
      <c r="H181" s="9"/>
      <c r="I181" s="9"/>
      <c r="J181" s="9"/>
      <c r="K181" s="10" t="str">
        <f aca="false">IF(A181="","",IF(E181="","à noter",IF(OR(E181&lt;0,E181&gt;10),"hors échelle",IF(AND(F181&lt;&gt;"",F181&gt;E181),"min &gt; valeur",IF(AND(G181&lt;&gt;"",G181&lt;E181),"max &lt; valeur",IF(J181="","sans source","ok"))))))</f>
        <v/>
      </c>
    </row>
    <row r="182" customFormat="false" ht="15" hidden="false" customHeight="false" outlineLevel="0" collapsed="false">
      <c r="A182" s="9"/>
      <c r="B182" s="9"/>
      <c r="C182" s="10" t="str">
        <f aca="false">IFERROR(INDEX(Criteres!$A$2:$A$1000,MATCH(B182,Criteres!$B$2:$B$1000,0)),"")</f>
        <v/>
      </c>
      <c r="D182" s="9"/>
      <c r="E182" s="9"/>
      <c r="F182" s="9"/>
      <c r="G182" s="9"/>
      <c r="H182" s="9"/>
      <c r="I182" s="9"/>
      <c r="J182" s="9"/>
      <c r="K182" s="10" t="str">
        <f aca="false">IF(A182="","",IF(E182="","à noter",IF(OR(E182&lt;0,E182&gt;10),"hors échelle",IF(AND(F182&lt;&gt;"",F182&gt;E182),"min &gt; valeur",IF(AND(G182&lt;&gt;"",G182&lt;E182),"max &lt; valeur",IF(J182="","sans source","ok"))))))</f>
        <v/>
      </c>
    </row>
    <row r="183" customFormat="false" ht="15" hidden="false" customHeight="false" outlineLevel="0" collapsed="false">
      <c r="A183" s="9"/>
      <c r="B183" s="9"/>
      <c r="C183" s="10" t="str">
        <f aca="false">IFERROR(INDEX(Criteres!$A$2:$A$1000,MATCH(B183,Criteres!$B$2:$B$1000,0)),"")</f>
        <v/>
      </c>
      <c r="D183" s="9"/>
      <c r="E183" s="9"/>
      <c r="F183" s="9"/>
      <c r="G183" s="9"/>
      <c r="H183" s="9"/>
      <c r="I183" s="9"/>
      <c r="J183" s="9"/>
      <c r="K183" s="10" t="str">
        <f aca="false">IF(A183="","",IF(E183="","à noter",IF(OR(E183&lt;0,E183&gt;10),"hors échelle",IF(AND(F183&lt;&gt;"",F183&gt;E183),"min &gt; valeur",IF(AND(G183&lt;&gt;"",G183&lt;E183),"max &lt; valeur",IF(J183="","sans source","ok"))))))</f>
        <v/>
      </c>
    </row>
    <row r="184" customFormat="false" ht="15" hidden="false" customHeight="false" outlineLevel="0" collapsed="false">
      <c r="A184" s="9"/>
      <c r="B184" s="9"/>
      <c r="C184" s="10" t="str">
        <f aca="false">IFERROR(INDEX(Criteres!$A$2:$A$1000,MATCH(B184,Criteres!$B$2:$B$1000,0)),"")</f>
        <v/>
      </c>
      <c r="D184" s="9"/>
      <c r="E184" s="9"/>
      <c r="F184" s="9"/>
      <c r="G184" s="9"/>
      <c r="H184" s="9"/>
      <c r="I184" s="9"/>
      <c r="J184" s="9"/>
      <c r="K184" s="10" t="str">
        <f aca="false">IF(A184="","",IF(E184="","à noter",IF(OR(E184&lt;0,E184&gt;10),"hors échelle",IF(AND(F184&lt;&gt;"",F184&gt;E184),"min &gt; valeur",IF(AND(G184&lt;&gt;"",G184&lt;E184),"max &lt; valeur",IF(J184="","sans source","ok"))))))</f>
        <v/>
      </c>
    </row>
    <row r="185" customFormat="false" ht="15" hidden="false" customHeight="false" outlineLevel="0" collapsed="false">
      <c r="A185" s="9"/>
      <c r="B185" s="9"/>
      <c r="C185" s="10" t="str">
        <f aca="false">IFERROR(INDEX(Criteres!$A$2:$A$1000,MATCH(B185,Criteres!$B$2:$B$1000,0)),"")</f>
        <v/>
      </c>
      <c r="D185" s="9"/>
      <c r="E185" s="9"/>
      <c r="F185" s="9"/>
      <c r="G185" s="9"/>
      <c r="H185" s="9"/>
      <c r="I185" s="9"/>
      <c r="J185" s="9"/>
      <c r="K185" s="10" t="str">
        <f aca="false">IF(A185="","",IF(E185="","à noter",IF(OR(E185&lt;0,E185&gt;10),"hors échelle",IF(AND(F185&lt;&gt;"",F185&gt;E185),"min &gt; valeur",IF(AND(G185&lt;&gt;"",G185&lt;E185),"max &lt; valeur",IF(J185="","sans source","ok"))))))</f>
        <v/>
      </c>
    </row>
    <row r="186" customFormat="false" ht="15" hidden="false" customHeight="false" outlineLevel="0" collapsed="false">
      <c r="A186" s="9"/>
      <c r="B186" s="9"/>
      <c r="C186" s="10" t="str">
        <f aca="false">IFERROR(INDEX(Criteres!$A$2:$A$1000,MATCH(B186,Criteres!$B$2:$B$1000,0)),"")</f>
        <v/>
      </c>
      <c r="D186" s="9"/>
      <c r="E186" s="9"/>
      <c r="F186" s="9"/>
      <c r="G186" s="9"/>
      <c r="H186" s="9"/>
      <c r="I186" s="9"/>
      <c r="J186" s="9"/>
      <c r="K186" s="10" t="str">
        <f aca="false">IF(A186="","",IF(E186="","à noter",IF(OR(E186&lt;0,E186&gt;10),"hors échelle",IF(AND(F186&lt;&gt;"",F186&gt;E186),"min &gt; valeur",IF(AND(G186&lt;&gt;"",G186&lt;E186),"max &lt; valeur",IF(J186="","sans source","ok"))))))</f>
        <v/>
      </c>
    </row>
    <row r="187" customFormat="false" ht="15" hidden="false" customHeight="false" outlineLevel="0" collapsed="false">
      <c r="A187" s="9"/>
      <c r="B187" s="9"/>
      <c r="C187" s="10" t="str">
        <f aca="false">IFERROR(INDEX(Criteres!$A$2:$A$1000,MATCH(B187,Criteres!$B$2:$B$1000,0)),"")</f>
        <v/>
      </c>
      <c r="D187" s="9"/>
      <c r="E187" s="9"/>
      <c r="F187" s="9"/>
      <c r="G187" s="9"/>
      <c r="H187" s="9"/>
      <c r="I187" s="9"/>
      <c r="J187" s="9"/>
      <c r="K187" s="10" t="str">
        <f aca="false">IF(A187="","",IF(E187="","à noter",IF(OR(E187&lt;0,E187&gt;10),"hors échelle",IF(AND(F187&lt;&gt;"",F187&gt;E187),"min &gt; valeur",IF(AND(G187&lt;&gt;"",G187&lt;E187),"max &lt; valeur",IF(J187="","sans source","ok"))))))</f>
        <v/>
      </c>
    </row>
    <row r="188" customFormat="false" ht="15" hidden="false" customHeight="false" outlineLevel="0" collapsed="false">
      <c r="A188" s="9"/>
      <c r="B188" s="9"/>
      <c r="C188" s="10" t="str">
        <f aca="false">IFERROR(INDEX(Criteres!$A$2:$A$1000,MATCH(B188,Criteres!$B$2:$B$1000,0)),"")</f>
        <v/>
      </c>
      <c r="D188" s="9"/>
      <c r="E188" s="9"/>
      <c r="F188" s="9"/>
      <c r="G188" s="9"/>
      <c r="H188" s="9"/>
      <c r="I188" s="9"/>
      <c r="J188" s="9"/>
      <c r="K188" s="10" t="str">
        <f aca="false">IF(A188="","",IF(E188="","à noter",IF(OR(E188&lt;0,E188&gt;10),"hors échelle",IF(AND(F188&lt;&gt;"",F188&gt;E188),"min &gt; valeur",IF(AND(G188&lt;&gt;"",G188&lt;E188),"max &lt; valeur",IF(J188="","sans source","ok"))))))</f>
        <v/>
      </c>
    </row>
    <row r="189" customFormat="false" ht="15" hidden="false" customHeight="false" outlineLevel="0" collapsed="false">
      <c r="A189" s="9"/>
      <c r="B189" s="9"/>
      <c r="C189" s="10" t="str">
        <f aca="false">IFERROR(INDEX(Criteres!$A$2:$A$1000,MATCH(B189,Criteres!$B$2:$B$1000,0)),"")</f>
        <v/>
      </c>
      <c r="D189" s="9"/>
      <c r="E189" s="9"/>
      <c r="F189" s="9"/>
      <c r="G189" s="9"/>
      <c r="H189" s="9"/>
      <c r="I189" s="9"/>
      <c r="J189" s="9"/>
      <c r="K189" s="10" t="str">
        <f aca="false">IF(A189="","",IF(E189="","à noter",IF(OR(E189&lt;0,E189&gt;10),"hors échelle",IF(AND(F189&lt;&gt;"",F189&gt;E189),"min &gt; valeur",IF(AND(G189&lt;&gt;"",G189&lt;E189),"max &lt; valeur",IF(J189="","sans source","ok"))))))</f>
        <v/>
      </c>
    </row>
    <row r="190" customFormat="false" ht="15" hidden="false" customHeight="false" outlineLevel="0" collapsed="false">
      <c r="A190" s="9"/>
      <c r="B190" s="9"/>
      <c r="C190" s="10" t="str">
        <f aca="false">IFERROR(INDEX(Criteres!$A$2:$A$1000,MATCH(B190,Criteres!$B$2:$B$1000,0)),"")</f>
        <v/>
      </c>
      <c r="D190" s="9"/>
      <c r="E190" s="9"/>
      <c r="F190" s="9"/>
      <c r="G190" s="9"/>
      <c r="H190" s="9"/>
      <c r="I190" s="9"/>
      <c r="J190" s="9"/>
      <c r="K190" s="10" t="str">
        <f aca="false">IF(A190="","",IF(E190="","à noter",IF(OR(E190&lt;0,E190&gt;10),"hors échelle",IF(AND(F190&lt;&gt;"",F190&gt;E190),"min &gt; valeur",IF(AND(G190&lt;&gt;"",G190&lt;E190),"max &lt; valeur",IF(J190="","sans source","ok"))))))</f>
        <v/>
      </c>
    </row>
    <row r="191" customFormat="false" ht="15" hidden="false" customHeight="false" outlineLevel="0" collapsed="false">
      <c r="A191" s="9"/>
      <c r="B191" s="9"/>
      <c r="C191" s="10" t="str">
        <f aca="false">IFERROR(INDEX(Criteres!$A$2:$A$1000,MATCH(B191,Criteres!$B$2:$B$1000,0)),"")</f>
        <v/>
      </c>
      <c r="D191" s="9"/>
      <c r="E191" s="9"/>
      <c r="F191" s="9"/>
      <c r="G191" s="9"/>
      <c r="H191" s="9"/>
      <c r="I191" s="9"/>
      <c r="J191" s="9"/>
      <c r="K191" s="10" t="str">
        <f aca="false">IF(A191="","",IF(E191="","à noter",IF(OR(E191&lt;0,E191&gt;10),"hors échelle",IF(AND(F191&lt;&gt;"",F191&gt;E191),"min &gt; valeur",IF(AND(G191&lt;&gt;"",G191&lt;E191),"max &lt; valeur",IF(J191="","sans source","ok"))))))</f>
        <v/>
      </c>
    </row>
    <row r="192" customFormat="false" ht="15" hidden="false" customHeight="false" outlineLevel="0" collapsed="false">
      <c r="A192" s="9"/>
      <c r="B192" s="9"/>
      <c r="C192" s="10" t="str">
        <f aca="false">IFERROR(INDEX(Criteres!$A$2:$A$1000,MATCH(B192,Criteres!$B$2:$B$1000,0)),"")</f>
        <v/>
      </c>
      <c r="D192" s="9"/>
      <c r="E192" s="9"/>
      <c r="F192" s="9"/>
      <c r="G192" s="9"/>
      <c r="H192" s="9"/>
      <c r="I192" s="9"/>
      <c r="J192" s="9"/>
      <c r="K192" s="10" t="str">
        <f aca="false">IF(A192="","",IF(E192="","à noter",IF(OR(E192&lt;0,E192&gt;10),"hors échelle",IF(AND(F192&lt;&gt;"",F192&gt;E192),"min &gt; valeur",IF(AND(G192&lt;&gt;"",G192&lt;E192),"max &lt; valeur",IF(J192="","sans source","ok"))))))</f>
        <v/>
      </c>
    </row>
    <row r="193" customFormat="false" ht="15" hidden="false" customHeight="false" outlineLevel="0" collapsed="false">
      <c r="A193" s="9"/>
      <c r="B193" s="9"/>
      <c r="C193" s="10" t="str">
        <f aca="false">IFERROR(INDEX(Criteres!$A$2:$A$1000,MATCH(B193,Criteres!$B$2:$B$1000,0)),"")</f>
        <v/>
      </c>
      <c r="D193" s="9"/>
      <c r="E193" s="9"/>
      <c r="F193" s="9"/>
      <c r="G193" s="9"/>
      <c r="H193" s="9"/>
      <c r="I193" s="9"/>
      <c r="J193" s="9"/>
      <c r="K193" s="10" t="str">
        <f aca="false">IF(A193="","",IF(E193="","à noter",IF(OR(E193&lt;0,E193&gt;10),"hors échelle",IF(AND(F193&lt;&gt;"",F193&gt;E193),"min &gt; valeur",IF(AND(G193&lt;&gt;"",G193&lt;E193),"max &lt; valeur",IF(J193="","sans source","ok"))))))</f>
        <v/>
      </c>
    </row>
    <row r="194" customFormat="false" ht="15" hidden="false" customHeight="false" outlineLevel="0" collapsed="false">
      <c r="A194" s="9"/>
      <c r="B194" s="9"/>
      <c r="C194" s="10" t="str">
        <f aca="false">IFERROR(INDEX(Criteres!$A$2:$A$1000,MATCH(B194,Criteres!$B$2:$B$1000,0)),"")</f>
        <v/>
      </c>
      <c r="D194" s="9"/>
      <c r="E194" s="9"/>
      <c r="F194" s="9"/>
      <c r="G194" s="9"/>
      <c r="H194" s="9"/>
      <c r="I194" s="9"/>
      <c r="J194" s="9"/>
      <c r="K194" s="10" t="str">
        <f aca="false">IF(A194="","",IF(E194="","à noter",IF(OR(E194&lt;0,E194&gt;10),"hors échelle",IF(AND(F194&lt;&gt;"",F194&gt;E194),"min &gt; valeur",IF(AND(G194&lt;&gt;"",G194&lt;E194),"max &lt; valeur",IF(J194="","sans source","ok"))))))</f>
        <v/>
      </c>
    </row>
    <row r="195" customFormat="false" ht="15" hidden="false" customHeight="false" outlineLevel="0" collapsed="false">
      <c r="A195" s="9"/>
      <c r="B195" s="9"/>
      <c r="C195" s="10" t="str">
        <f aca="false">IFERROR(INDEX(Criteres!$A$2:$A$1000,MATCH(B195,Criteres!$B$2:$B$1000,0)),"")</f>
        <v/>
      </c>
      <c r="D195" s="9"/>
      <c r="E195" s="9"/>
      <c r="F195" s="9"/>
      <c r="G195" s="9"/>
      <c r="H195" s="9"/>
      <c r="I195" s="9"/>
      <c r="J195" s="9"/>
      <c r="K195" s="10" t="str">
        <f aca="false">IF(A195="","",IF(E195="","à noter",IF(OR(E195&lt;0,E195&gt;10),"hors échelle",IF(AND(F195&lt;&gt;"",F195&gt;E195),"min &gt; valeur",IF(AND(G195&lt;&gt;"",G195&lt;E195),"max &lt; valeur",IF(J195="","sans source","ok"))))))</f>
        <v/>
      </c>
    </row>
    <row r="196" customFormat="false" ht="15" hidden="false" customHeight="false" outlineLevel="0" collapsed="false">
      <c r="A196" s="9"/>
      <c r="B196" s="9"/>
      <c r="C196" s="10" t="str">
        <f aca="false">IFERROR(INDEX(Criteres!$A$2:$A$1000,MATCH(B196,Criteres!$B$2:$B$1000,0)),"")</f>
        <v/>
      </c>
      <c r="D196" s="9"/>
      <c r="E196" s="9"/>
      <c r="F196" s="9"/>
      <c r="G196" s="9"/>
      <c r="H196" s="9"/>
      <c r="I196" s="9"/>
      <c r="J196" s="9"/>
      <c r="K196" s="10" t="str">
        <f aca="false">IF(A196="","",IF(E196="","à noter",IF(OR(E196&lt;0,E196&gt;10),"hors échelle",IF(AND(F196&lt;&gt;"",F196&gt;E196),"min &gt; valeur",IF(AND(G196&lt;&gt;"",G196&lt;E196),"max &lt; valeur",IF(J196="","sans source","ok"))))))</f>
        <v/>
      </c>
    </row>
    <row r="197" customFormat="false" ht="15" hidden="false" customHeight="false" outlineLevel="0" collapsed="false">
      <c r="A197" s="9"/>
      <c r="B197" s="9"/>
      <c r="C197" s="10" t="str">
        <f aca="false">IFERROR(INDEX(Criteres!$A$2:$A$1000,MATCH(B197,Criteres!$B$2:$B$1000,0)),"")</f>
        <v/>
      </c>
      <c r="D197" s="9"/>
      <c r="E197" s="9"/>
      <c r="F197" s="9"/>
      <c r="G197" s="9"/>
      <c r="H197" s="9"/>
      <c r="I197" s="9"/>
      <c r="J197" s="9"/>
      <c r="K197" s="10" t="str">
        <f aca="false">IF(A197="","",IF(E197="","à noter",IF(OR(E197&lt;0,E197&gt;10),"hors échelle",IF(AND(F197&lt;&gt;"",F197&gt;E197),"min &gt; valeur",IF(AND(G197&lt;&gt;"",G197&lt;E197),"max &lt; valeur",IF(J197="","sans source","ok"))))))</f>
        <v/>
      </c>
    </row>
    <row r="198" customFormat="false" ht="15" hidden="false" customHeight="false" outlineLevel="0" collapsed="false">
      <c r="A198" s="9"/>
      <c r="B198" s="9"/>
      <c r="C198" s="10" t="str">
        <f aca="false">IFERROR(INDEX(Criteres!$A$2:$A$1000,MATCH(B198,Criteres!$B$2:$B$1000,0)),"")</f>
        <v/>
      </c>
      <c r="D198" s="9"/>
      <c r="E198" s="9"/>
      <c r="F198" s="9"/>
      <c r="G198" s="9"/>
      <c r="H198" s="9"/>
      <c r="I198" s="9"/>
      <c r="J198" s="9"/>
      <c r="K198" s="10" t="str">
        <f aca="false">IF(A198="","",IF(E198="","à noter",IF(OR(E198&lt;0,E198&gt;10),"hors échelle",IF(AND(F198&lt;&gt;"",F198&gt;E198),"min &gt; valeur",IF(AND(G198&lt;&gt;"",G198&lt;E198),"max &lt; valeur",IF(J198="","sans source","ok"))))))</f>
        <v/>
      </c>
    </row>
    <row r="199" customFormat="false" ht="15" hidden="false" customHeight="false" outlineLevel="0" collapsed="false">
      <c r="A199" s="9"/>
      <c r="B199" s="9"/>
      <c r="C199" s="10" t="str">
        <f aca="false">IFERROR(INDEX(Criteres!$A$2:$A$1000,MATCH(B199,Criteres!$B$2:$B$1000,0)),"")</f>
        <v/>
      </c>
      <c r="D199" s="9"/>
      <c r="E199" s="9"/>
      <c r="F199" s="9"/>
      <c r="G199" s="9"/>
      <c r="H199" s="9"/>
      <c r="I199" s="9"/>
      <c r="J199" s="9"/>
      <c r="K199" s="10" t="str">
        <f aca="false">IF(A199="","",IF(E199="","à noter",IF(OR(E199&lt;0,E199&gt;10),"hors échelle",IF(AND(F199&lt;&gt;"",F199&gt;E199),"min &gt; valeur",IF(AND(G199&lt;&gt;"",G199&lt;E199),"max &lt; valeur",IF(J199="","sans source","ok"))))))</f>
        <v/>
      </c>
    </row>
    <row r="200" customFormat="false" ht="15" hidden="false" customHeight="false" outlineLevel="0" collapsed="false">
      <c r="A200" s="9"/>
      <c r="B200" s="9"/>
      <c r="C200" s="10" t="str">
        <f aca="false">IFERROR(INDEX(Criteres!$A$2:$A$1000,MATCH(B200,Criteres!$B$2:$B$1000,0)),"")</f>
        <v/>
      </c>
      <c r="D200" s="9"/>
      <c r="E200" s="9"/>
      <c r="F200" s="9"/>
      <c r="G200" s="9"/>
      <c r="H200" s="9"/>
      <c r="I200" s="9"/>
      <c r="J200" s="9"/>
      <c r="K200" s="10" t="str">
        <f aca="false">IF(A200="","",IF(E200="","à noter",IF(OR(E200&lt;0,E200&gt;10),"hors échelle",IF(AND(F200&lt;&gt;"",F200&gt;E200),"min &gt; valeur",IF(AND(G200&lt;&gt;"",G200&lt;E200),"max &lt; valeur",IF(J200="","sans source","ok"))))))</f>
        <v/>
      </c>
    </row>
    <row r="201" customFormat="false" ht="15" hidden="false" customHeight="false" outlineLevel="0" collapsed="false">
      <c r="A201" s="9"/>
      <c r="B201" s="9"/>
      <c r="C201" s="10" t="str">
        <f aca="false">IFERROR(INDEX(Criteres!$A$2:$A$1000,MATCH(B201,Criteres!$B$2:$B$1000,0)),"")</f>
        <v/>
      </c>
      <c r="D201" s="9"/>
      <c r="E201" s="9"/>
      <c r="F201" s="9"/>
      <c r="G201" s="9"/>
      <c r="H201" s="9"/>
      <c r="I201" s="9"/>
      <c r="J201" s="9"/>
      <c r="K201" s="10" t="str">
        <f aca="false">IF(A201="","",IF(E201="","à noter",IF(OR(E201&lt;0,E201&gt;10),"hors échelle",IF(AND(F201&lt;&gt;"",F201&gt;E201),"min &gt; valeur",IF(AND(G201&lt;&gt;"",G201&lt;E201),"max &lt; valeur",IF(J201="","sans source","ok"))))))</f>
        <v/>
      </c>
    </row>
    <row r="202" customFormat="false" ht="15" hidden="false" customHeight="false" outlineLevel="0" collapsed="false">
      <c r="A202" s="9"/>
      <c r="B202" s="9"/>
      <c r="C202" s="10" t="str">
        <f aca="false">IFERROR(INDEX(Criteres!$A$2:$A$1000,MATCH(B202,Criteres!$B$2:$B$1000,0)),"")</f>
        <v/>
      </c>
      <c r="D202" s="9"/>
      <c r="E202" s="9"/>
      <c r="F202" s="9"/>
      <c r="G202" s="9"/>
      <c r="H202" s="9"/>
      <c r="I202" s="9"/>
      <c r="J202" s="9"/>
      <c r="K202" s="10" t="str">
        <f aca="false">IF(A202="","",IF(E202="","à noter",IF(OR(E202&lt;0,E202&gt;10),"hors échelle",IF(AND(F202&lt;&gt;"",F202&gt;E202),"min &gt; valeur",IF(AND(G202&lt;&gt;"",G202&lt;E202),"max &lt; valeur",IF(J202="","sans source","ok"))))))</f>
        <v/>
      </c>
    </row>
    <row r="203" customFormat="false" ht="15" hidden="false" customHeight="false" outlineLevel="0" collapsed="false">
      <c r="A203" s="9"/>
      <c r="B203" s="9"/>
      <c r="C203" s="10" t="str">
        <f aca="false">IFERROR(INDEX(Criteres!$A$2:$A$1000,MATCH(B203,Criteres!$B$2:$B$1000,0)),"")</f>
        <v/>
      </c>
      <c r="D203" s="9"/>
      <c r="E203" s="9"/>
      <c r="F203" s="9"/>
      <c r="G203" s="9"/>
      <c r="H203" s="9"/>
      <c r="I203" s="9"/>
      <c r="J203" s="9"/>
      <c r="K203" s="10" t="str">
        <f aca="false">IF(A203="","",IF(E203="","à noter",IF(OR(E203&lt;0,E203&gt;10),"hors échelle",IF(AND(F203&lt;&gt;"",F203&gt;E203),"min &gt; valeur",IF(AND(G203&lt;&gt;"",G203&lt;E203),"max &lt; valeur",IF(J203="","sans source","ok"))))))</f>
        <v/>
      </c>
    </row>
    <row r="204" customFormat="false" ht="15" hidden="false" customHeight="false" outlineLevel="0" collapsed="false">
      <c r="A204" s="9"/>
      <c r="B204" s="9"/>
      <c r="C204" s="10" t="str">
        <f aca="false">IFERROR(INDEX(Criteres!$A$2:$A$1000,MATCH(B204,Criteres!$B$2:$B$1000,0)),"")</f>
        <v/>
      </c>
      <c r="D204" s="9"/>
      <c r="E204" s="9"/>
      <c r="F204" s="9"/>
      <c r="G204" s="9"/>
      <c r="H204" s="9"/>
      <c r="I204" s="9"/>
      <c r="J204" s="9"/>
      <c r="K204" s="10" t="str">
        <f aca="false">IF(A204="","",IF(E204="","à noter",IF(OR(E204&lt;0,E204&gt;10),"hors échelle",IF(AND(F204&lt;&gt;"",F204&gt;E204),"min &gt; valeur",IF(AND(G204&lt;&gt;"",G204&lt;E204),"max &lt; valeur",IF(J204="","sans source","ok"))))))</f>
        <v/>
      </c>
    </row>
    <row r="205" customFormat="false" ht="15" hidden="false" customHeight="false" outlineLevel="0" collapsed="false">
      <c r="A205" s="9"/>
      <c r="B205" s="9"/>
      <c r="C205" s="10" t="str">
        <f aca="false">IFERROR(INDEX(Criteres!$A$2:$A$1000,MATCH(B205,Criteres!$B$2:$B$1000,0)),"")</f>
        <v/>
      </c>
      <c r="D205" s="9"/>
      <c r="E205" s="9"/>
      <c r="F205" s="9"/>
      <c r="G205" s="9"/>
      <c r="H205" s="9"/>
      <c r="I205" s="9"/>
      <c r="J205" s="9"/>
      <c r="K205" s="10" t="str">
        <f aca="false">IF(A205="","",IF(E205="","à noter",IF(OR(E205&lt;0,E205&gt;10),"hors échelle",IF(AND(F205&lt;&gt;"",F205&gt;E205),"min &gt; valeur",IF(AND(G205&lt;&gt;"",G205&lt;E205),"max &lt; valeur",IF(J205="","sans source","ok"))))))</f>
        <v/>
      </c>
    </row>
    <row r="206" customFormat="false" ht="15" hidden="false" customHeight="false" outlineLevel="0" collapsed="false">
      <c r="A206" s="9"/>
      <c r="B206" s="9"/>
      <c r="C206" s="10" t="str">
        <f aca="false">IFERROR(INDEX(Criteres!$A$2:$A$1000,MATCH(B206,Criteres!$B$2:$B$1000,0)),"")</f>
        <v/>
      </c>
      <c r="D206" s="9"/>
      <c r="E206" s="9"/>
      <c r="F206" s="9"/>
      <c r="G206" s="9"/>
      <c r="H206" s="9"/>
      <c r="I206" s="9"/>
      <c r="J206" s="9"/>
      <c r="K206" s="10" t="str">
        <f aca="false">IF(A206="","",IF(E206="","à noter",IF(OR(E206&lt;0,E206&gt;10),"hors échelle",IF(AND(F206&lt;&gt;"",F206&gt;E206),"min &gt; valeur",IF(AND(G206&lt;&gt;"",G206&lt;E206),"max &lt; valeur",IF(J206="","sans source","ok"))))))</f>
        <v/>
      </c>
    </row>
    <row r="207" customFormat="false" ht="15" hidden="false" customHeight="false" outlineLevel="0" collapsed="false">
      <c r="A207" s="9"/>
      <c r="B207" s="9"/>
      <c r="C207" s="10" t="str">
        <f aca="false">IFERROR(INDEX(Criteres!$A$2:$A$1000,MATCH(B207,Criteres!$B$2:$B$1000,0)),"")</f>
        <v/>
      </c>
      <c r="D207" s="9"/>
      <c r="E207" s="9"/>
      <c r="F207" s="9"/>
      <c r="G207" s="9"/>
      <c r="H207" s="9"/>
      <c r="I207" s="9"/>
      <c r="J207" s="9"/>
      <c r="K207" s="10" t="str">
        <f aca="false">IF(A207="","",IF(E207="","à noter",IF(OR(E207&lt;0,E207&gt;10),"hors échelle",IF(AND(F207&lt;&gt;"",F207&gt;E207),"min &gt; valeur",IF(AND(G207&lt;&gt;"",G207&lt;E207),"max &lt; valeur",IF(J207="","sans source","ok"))))))</f>
        <v/>
      </c>
    </row>
    <row r="208" customFormat="false" ht="15" hidden="false" customHeight="false" outlineLevel="0" collapsed="false">
      <c r="A208" s="9"/>
      <c r="B208" s="9"/>
      <c r="C208" s="10" t="str">
        <f aca="false">IFERROR(INDEX(Criteres!$A$2:$A$1000,MATCH(B208,Criteres!$B$2:$B$1000,0)),"")</f>
        <v/>
      </c>
      <c r="D208" s="9"/>
      <c r="E208" s="9"/>
      <c r="F208" s="9"/>
      <c r="G208" s="9"/>
      <c r="H208" s="9"/>
      <c r="I208" s="9"/>
      <c r="J208" s="9"/>
      <c r="K208" s="10" t="str">
        <f aca="false">IF(A208="","",IF(E208="","à noter",IF(OR(E208&lt;0,E208&gt;10),"hors échelle",IF(AND(F208&lt;&gt;"",F208&gt;E208),"min &gt; valeur",IF(AND(G208&lt;&gt;"",G208&lt;E208),"max &lt; valeur",IF(J208="","sans source","ok"))))))</f>
        <v/>
      </c>
    </row>
    <row r="209" customFormat="false" ht="15" hidden="false" customHeight="false" outlineLevel="0" collapsed="false">
      <c r="A209" s="9"/>
      <c r="B209" s="9"/>
      <c r="C209" s="10" t="str">
        <f aca="false">IFERROR(INDEX(Criteres!$A$2:$A$1000,MATCH(B209,Criteres!$B$2:$B$1000,0)),"")</f>
        <v/>
      </c>
      <c r="D209" s="9"/>
      <c r="E209" s="9"/>
      <c r="F209" s="9"/>
      <c r="G209" s="9"/>
      <c r="H209" s="9"/>
      <c r="I209" s="9"/>
      <c r="J209" s="9"/>
      <c r="K209" s="10" t="str">
        <f aca="false">IF(A209="","",IF(E209="","à noter",IF(OR(E209&lt;0,E209&gt;10),"hors échelle",IF(AND(F209&lt;&gt;"",F209&gt;E209),"min &gt; valeur",IF(AND(G209&lt;&gt;"",G209&lt;E209),"max &lt; valeur",IF(J209="","sans source","ok"))))))</f>
        <v/>
      </c>
    </row>
    <row r="210" customFormat="false" ht="15" hidden="false" customHeight="false" outlineLevel="0" collapsed="false">
      <c r="A210" s="9"/>
      <c r="B210" s="9"/>
      <c r="C210" s="10" t="str">
        <f aca="false">IFERROR(INDEX(Criteres!$A$2:$A$1000,MATCH(B210,Criteres!$B$2:$B$1000,0)),"")</f>
        <v/>
      </c>
      <c r="D210" s="9"/>
      <c r="E210" s="9"/>
      <c r="F210" s="9"/>
      <c r="G210" s="9"/>
      <c r="H210" s="9"/>
      <c r="I210" s="9"/>
      <c r="J210" s="9"/>
      <c r="K210" s="10" t="str">
        <f aca="false">IF(A210="","",IF(E210="","à noter",IF(OR(E210&lt;0,E210&gt;10),"hors échelle",IF(AND(F210&lt;&gt;"",F210&gt;E210),"min &gt; valeur",IF(AND(G210&lt;&gt;"",G210&lt;E210),"max &lt; valeur",IF(J210="","sans source","ok"))))))</f>
        <v/>
      </c>
    </row>
    <row r="211" customFormat="false" ht="15" hidden="false" customHeight="false" outlineLevel="0" collapsed="false">
      <c r="A211" s="9"/>
      <c r="B211" s="9"/>
      <c r="C211" s="10" t="str">
        <f aca="false">IFERROR(INDEX(Criteres!$A$2:$A$1000,MATCH(B211,Criteres!$B$2:$B$1000,0)),"")</f>
        <v/>
      </c>
      <c r="D211" s="9"/>
      <c r="E211" s="9"/>
      <c r="F211" s="9"/>
      <c r="G211" s="9"/>
      <c r="H211" s="9"/>
      <c r="I211" s="9"/>
      <c r="J211" s="9"/>
      <c r="K211" s="10" t="str">
        <f aca="false">IF(A211="","",IF(E211="","à noter",IF(OR(E211&lt;0,E211&gt;10),"hors échelle",IF(AND(F211&lt;&gt;"",F211&gt;E211),"min &gt; valeur",IF(AND(G211&lt;&gt;"",G211&lt;E211),"max &lt; valeur",IF(J211="","sans source","ok"))))))</f>
        <v/>
      </c>
    </row>
    <row r="212" customFormat="false" ht="15" hidden="false" customHeight="false" outlineLevel="0" collapsed="false">
      <c r="A212" s="9"/>
      <c r="B212" s="9"/>
      <c r="C212" s="10" t="str">
        <f aca="false">IFERROR(INDEX(Criteres!$A$2:$A$1000,MATCH(B212,Criteres!$B$2:$B$1000,0)),"")</f>
        <v/>
      </c>
      <c r="D212" s="9"/>
      <c r="E212" s="9"/>
      <c r="F212" s="9"/>
      <c r="G212" s="9"/>
      <c r="H212" s="9"/>
      <c r="I212" s="9"/>
      <c r="J212" s="9"/>
      <c r="K212" s="10" t="str">
        <f aca="false">IF(A212="","",IF(E212="","à noter",IF(OR(E212&lt;0,E212&gt;10),"hors échelle",IF(AND(F212&lt;&gt;"",F212&gt;E212),"min &gt; valeur",IF(AND(G212&lt;&gt;"",G212&lt;E212),"max &lt; valeur",IF(J212="","sans source","ok"))))))</f>
        <v/>
      </c>
    </row>
    <row r="213" customFormat="false" ht="15" hidden="false" customHeight="false" outlineLevel="0" collapsed="false">
      <c r="A213" s="9"/>
      <c r="B213" s="9"/>
      <c r="C213" s="10" t="str">
        <f aca="false">IFERROR(INDEX(Criteres!$A$2:$A$1000,MATCH(B213,Criteres!$B$2:$B$1000,0)),"")</f>
        <v/>
      </c>
      <c r="D213" s="9"/>
      <c r="E213" s="9"/>
      <c r="F213" s="9"/>
      <c r="G213" s="9"/>
      <c r="H213" s="9"/>
      <c r="I213" s="9"/>
      <c r="J213" s="9"/>
      <c r="K213" s="10" t="str">
        <f aca="false">IF(A213="","",IF(E213="","à noter",IF(OR(E213&lt;0,E213&gt;10),"hors échelle",IF(AND(F213&lt;&gt;"",F213&gt;E213),"min &gt; valeur",IF(AND(G213&lt;&gt;"",G213&lt;E213),"max &lt; valeur",IF(J213="","sans source","ok"))))))</f>
        <v/>
      </c>
    </row>
    <row r="214" customFormat="false" ht="15" hidden="false" customHeight="false" outlineLevel="0" collapsed="false">
      <c r="A214" s="9"/>
      <c r="B214" s="9"/>
      <c r="C214" s="10" t="str">
        <f aca="false">IFERROR(INDEX(Criteres!$A$2:$A$1000,MATCH(B214,Criteres!$B$2:$B$1000,0)),"")</f>
        <v/>
      </c>
      <c r="D214" s="9"/>
      <c r="E214" s="9"/>
      <c r="F214" s="9"/>
      <c r="G214" s="9"/>
      <c r="H214" s="9"/>
      <c r="I214" s="9"/>
      <c r="J214" s="9"/>
      <c r="K214" s="10" t="str">
        <f aca="false">IF(A214="","",IF(E214="","à noter",IF(OR(E214&lt;0,E214&gt;10),"hors échelle",IF(AND(F214&lt;&gt;"",F214&gt;E214),"min &gt; valeur",IF(AND(G214&lt;&gt;"",G214&lt;E214),"max &lt; valeur",IF(J214="","sans source","ok"))))))</f>
        <v/>
      </c>
    </row>
    <row r="215" customFormat="false" ht="15" hidden="false" customHeight="false" outlineLevel="0" collapsed="false">
      <c r="A215" s="9"/>
      <c r="B215" s="9"/>
      <c r="C215" s="10" t="str">
        <f aca="false">IFERROR(INDEX(Criteres!$A$2:$A$1000,MATCH(B215,Criteres!$B$2:$B$1000,0)),"")</f>
        <v/>
      </c>
      <c r="D215" s="9"/>
      <c r="E215" s="9"/>
      <c r="F215" s="9"/>
      <c r="G215" s="9"/>
      <c r="H215" s="9"/>
      <c r="I215" s="9"/>
      <c r="J215" s="9"/>
      <c r="K215" s="10" t="str">
        <f aca="false">IF(A215="","",IF(E215="","à noter",IF(OR(E215&lt;0,E215&gt;10),"hors échelle",IF(AND(F215&lt;&gt;"",F215&gt;E215),"min &gt; valeur",IF(AND(G215&lt;&gt;"",G215&lt;E215),"max &lt; valeur",IF(J215="","sans source","ok"))))))</f>
        <v/>
      </c>
    </row>
    <row r="216" customFormat="false" ht="15" hidden="false" customHeight="false" outlineLevel="0" collapsed="false">
      <c r="A216" s="9"/>
      <c r="B216" s="9"/>
      <c r="C216" s="10" t="str">
        <f aca="false">IFERROR(INDEX(Criteres!$A$2:$A$1000,MATCH(B216,Criteres!$B$2:$B$1000,0)),"")</f>
        <v/>
      </c>
      <c r="D216" s="9"/>
      <c r="E216" s="9"/>
      <c r="F216" s="9"/>
      <c r="G216" s="9"/>
      <c r="H216" s="9"/>
      <c r="I216" s="9"/>
      <c r="J216" s="9"/>
      <c r="K216" s="10" t="str">
        <f aca="false">IF(A216="","",IF(E216="","à noter",IF(OR(E216&lt;0,E216&gt;10),"hors échelle",IF(AND(F216&lt;&gt;"",F216&gt;E216),"min &gt; valeur",IF(AND(G216&lt;&gt;"",G216&lt;E216),"max &lt; valeur",IF(J216="","sans source","ok"))))))</f>
        <v/>
      </c>
    </row>
    <row r="217" customFormat="false" ht="15" hidden="false" customHeight="false" outlineLevel="0" collapsed="false">
      <c r="A217" s="9"/>
      <c r="B217" s="9"/>
      <c r="C217" s="10" t="str">
        <f aca="false">IFERROR(INDEX(Criteres!$A$2:$A$1000,MATCH(B217,Criteres!$B$2:$B$1000,0)),"")</f>
        <v/>
      </c>
      <c r="D217" s="9"/>
      <c r="E217" s="9"/>
      <c r="F217" s="9"/>
      <c r="G217" s="9"/>
      <c r="H217" s="9"/>
      <c r="I217" s="9"/>
      <c r="J217" s="9"/>
      <c r="K217" s="10" t="str">
        <f aca="false">IF(A217="","",IF(E217="","à noter",IF(OR(E217&lt;0,E217&gt;10),"hors échelle",IF(AND(F217&lt;&gt;"",F217&gt;E217),"min &gt; valeur",IF(AND(G217&lt;&gt;"",G217&lt;E217),"max &lt; valeur",IF(J217="","sans source","ok"))))))</f>
        <v/>
      </c>
    </row>
    <row r="218" customFormat="false" ht="15" hidden="false" customHeight="false" outlineLevel="0" collapsed="false">
      <c r="A218" s="9"/>
      <c r="B218" s="9"/>
      <c r="C218" s="10" t="str">
        <f aca="false">IFERROR(INDEX(Criteres!$A$2:$A$1000,MATCH(B218,Criteres!$B$2:$B$1000,0)),"")</f>
        <v/>
      </c>
      <c r="D218" s="9"/>
      <c r="E218" s="9"/>
      <c r="F218" s="9"/>
      <c r="G218" s="9"/>
      <c r="H218" s="9"/>
      <c r="I218" s="9"/>
      <c r="J218" s="9"/>
      <c r="K218" s="10" t="str">
        <f aca="false">IF(A218="","",IF(E218="","à noter",IF(OR(E218&lt;0,E218&gt;10),"hors échelle",IF(AND(F218&lt;&gt;"",F218&gt;E218),"min &gt; valeur",IF(AND(G218&lt;&gt;"",G218&lt;E218),"max &lt; valeur",IF(J218="","sans source","ok"))))))</f>
        <v/>
      </c>
    </row>
    <row r="219" customFormat="false" ht="15" hidden="false" customHeight="false" outlineLevel="0" collapsed="false">
      <c r="A219" s="9"/>
      <c r="B219" s="9"/>
      <c r="C219" s="10" t="str">
        <f aca="false">IFERROR(INDEX(Criteres!$A$2:$A$1000,MATCH(B219,Criteres!$B$2:$B$1000,0)),"")</f>
        <v/>
      </c>
      <c r="D219" s="9"/>
      <c r="E219" s="9"/>
      <c r="F219" s="9"/>
      <c r="G219" s="9"/>
      <c r="H219" s="9"/>
      <c r="I219" s="9"/>
      <c r="J219" s="9"/>
      <c r="K219" s="10" t="str">
        <f aca="false">IF(A219="","",IF(E219="","à noter",IF(OR(E219&lt;0,E219&gt;10),"hors échelle",IF(AND(F219&lt;&gt;"",F219&gt;E219),"min &gt; valeur",IF(AND(G219&lt;&gt;"",G219&lt;E219),"max &lt; valeur",IF(J219="","sans source","ok"))))))</f>
        <v/>
      </c>
    </row>
    <row r="220" customFormat="false" ht="15" hidden="false" customHeight="false" outlineLevel="0" collapsed="false">
      <c r="A220" s="9"/>
      <c r="B220" s="9"/>
      <c r="C220" s="10" t="str">
        <f aca="false">IFERROR(INDEX(Criteres!$A$2:$A$1000,MATCH(B220,Criteres!$B$2:$B$1000,0)),"")</f>
        <v/>
      </c>
      <c r="D220" s="9"/>
      <c r="E220" s="9"/>
      <c r="F220" s="9"/>
      <c r="G220" s="9"/>
      <c r="H220" s="9"/>
      <c r="I220" s="9"/>
      <c r="J220" s="9"/>
      <c r="K220" s="10" t="str">
        <f aca="false">IF(A220="","",IF(E220="","à noter",IF(OR(E220&lt;0,E220&gt;10),"hors échelle",IF(AND(F220&lt;&gt;"",F220&gt;E220),"min &gt; valeur",IF(AND(G220&lt;&gt;"",G220&lt;E220),"max &lt; valeur",IF(J220="","sans source","ok"))))))</f>
        <v/>
      </c>
    </row>
    <row r="221" customFormat="false" ht="15" hidden="false" customHeight="false" outlineLevel="0" collapsed="false">
      <c r="A221" s="9"/>
      <c r="B221" s="9"/>
      <c r="C221" s="10" t="str">
        <f aca="false">IFERROR(INDEX(Criteres!$A$2:$A$1000,MATCH(B221,Criteres!$B$2:$B$1000,0)),"")</f>
        <v/>
      </c>
      <c r="D221" s="9"/>
      <c r="E221" s="9"/>
      <c r="F221" s="9"/>
      <c r="G221" s="9"/>
      <c r="H221" s="9"/>
      <c r="I221" s="9"/>
      <c r="J221" s="9"/>
      <c r="K221" s="10" t="str">
        <f aca="false">IF(A221="","",IF(E221="","à noter",IF(OR(E221&lt;0,E221&gt;10),"hors échelle",IF(AND(F221&lt;&gt;"",F221&gt;E221),"min &gt; valeur",IF(AND(G221&lt;&gt;"",G221&lt;E221),"max &lt; valeur",IF(J221="","sans source","ok"))))))</f>
        <v/>
      </c>
    </row>
    <row r="222" customFormat="false" ht="15" hidden="false" customHeight="false" outlineLevel="0" collapsed="false">
      <c r="A222" s="9"/>
      <c r="B222" s="9"/>
      <c r="C222" s="10" t="str">
        <f aca="false">IFERROR(INDEX(Criteres!$A$2:$A$1000,MATCH(B222,Criteres!$B$2:$B$1000,0)),"")</f>
        <v/>
      </c>
      <c r="D222" s="9"/>
      <c r="E222" s="9"/>
      <c r="F222" s="9"/>
      <c r="G222" s="9"/>
      <c r="H222" s="9"/>
      <c r="I222" s="9"/>
      <c r="J222" s="9"/>
      <c r="K222" s="10" t="str">
        <f aca="false">IF(A222="","",IF(E222="","à noter",IF(OR(E222&lt;0,E222&gt;10),"hors échelle",IF(AND(F222&lt;&gt;"",F222&gt;E222),"min &gt; valeur",IF(AND(G222&lt;&gt;"",G222&lt;E222),"max &lt; valeur",IF(J222="","sans source","ok"))))))</f>
        <v/>
      </c>
    </row>
    <row r="223" customFormat="false" ht="15" hidden="false" customHeight="false" outlineLevel="0" collapsed="false">
      <c r="A223" s="9"/>
      <c r="B223" s="9"/>
      <c r="C223" s="10" t="str">
        <f aca="false">IFERROR(INDEX(Criteres!$A$2:$A$1000,MATCH(B223,Criteres!$B$2:$B$1000,0)),"")</f>
        <v/>
      </c>
      <c r="D223" s="9"/>
      <c r="E223" s="9"/>
      <c r="F223" s="9"/>
      <c r="G223" s="9"/>
      <c r="H223" s="9"/>
      <c r="I223" s="9"/>
      <c r="J223" s="9"/>
      <c r="K223" s="10" t="str">
        <f aca="false">IF(A223="","",IF(E223="","à noter",IF(OR(E223&lt;0,E223&gt;10),"hors échelle",IF(AND(F223&lt;&gt;"",F223&gt;E223),"min &gt; valeur",IF(AND(G223&lt;&gt;"",G223&lt;E223),"max &lt; valeur",IF(J223="","sans source","ok"))))))</f>
        <v/>
      </c>
    </row>
    <row r="224" customFormat="false" ht="15" hidden="false" customHeight="false" outlineLevel="0" collapsed="false">
      <c r="A224" s="9"/>
      <c r="B224" s="9"/>
      <c r="C224" s="10" t="str">
        <f aca="false">IFERROR(INDEX(Criteres!$A$2:$A$1000,MATCH(B224,Criteres!$B$2:$B$1000,0)),"")</f>
        <v/>
      </c>
      <c r="D224" s="9"/>
      <c r="E224" s="9"/>
      <c r="F224" s="9"/>
      <c r="G224" s="9"/>
      <c r="H224" s="9"/>
      <c r="I224" s="9"/>
      <c r="J224" s="9"/>
      <c r="K224" s="10" t="str">
        <f aca="false">IF(A224="","",IF(E224="","à noter",IF(OR(E224&lt;0,E224&gt;10),"hors échelle",IF(AND(F224&lt;&gt;"",F224&gt;E224),"min &gt; valeur",IF(AND(G224&lt;&gt;"",G224&lt;E224),"max &lt; valeur",IF(J224="","sans source","ok"))))))</f>
        <v/>
      </c>
    </row>
    <row r="225" customFormat="false" ht="15" hidden="false" customHeight="false" outlineLevel="0" collapsed="false">
      <c r="A225" s="9"/>
      <c r="B225" s="9"/>
      <c r="C225" s="10" t="str">
        <f aca="false">IFERROR(INDEX(Criteres!$A$2:$A$1000,MATCH(B225,Criteres!$B$2:$B$1000,0)),"")</f>
        <v/>
      </c>
      <c r="D225" s="9"/>
      <c r="E225" s="9"/>
      <c r="F225" s="9"/>
      <c r="G225" s="9"/>
      <c r="H225" s="9"/>
      <c r="I225" s="9"/>
      <c r="J225" s="9"/>
      <c r="K225" s="10" t="str">
        <f aca="false">IF(A225="","",IF(E225="","à noter",IF(OR(E225&lt;0,E225&gt;10),"hors échelle",IF(AND(F225&lt;&gt;"",F225&gt;E225),"min &gt; valeur",IF(AND(G225&lt;&gt;"",G225&lt;E225),"max &lt; valeur",IF(J225="","sans source","ok"))))))</f>
        <v/>
      </c>
    </row>
    <row r="226" customFormat="false" ht="15" hidden="false" customHeight="false" outlineLevel="0" collapsed="false">
      <c r="A226" s="9"/>
      <c r="B226" s="9"/>
      <c r="C226" s="10" t="str">
        <f aca="false">IFERROR(INDEX(Criteres!$A$2:$A$1000,MATCH(B226,Criteres!$B$2:$B$1000,0)),"")</f>
        <v/>
      </c>
      <c r="D226" s="9"/>
      <c r="E226" s="9"/>
      <c r="F226" s="9"/>
      <c r="G226" s="9"/>
      <c r="H226" s="9"/>
      <c r="I226" s="9"/>
      <c r="J226" s="9"/>
      <c r="K226" s="10" t="str">
        <f aca="false">IF(A226="","",IF(E226="","à noter",IF(OR(E226&lt;0,E226&gt;10),"hors échelle",IF(AND(F226&lt;&gt;"",F226&gt;E226),"min &gt; valeur",IF(AND(G226&lt;&gt;"",G226&lt;E226),"max &lt; valeur",IF(J226="","sans source","ok"))))))</f>
        <v/>
      </c>
    </row>
    <row r="227" customFormat="false" ht="15" hidden="false" customHeight="false" outlineLevel="0" collapsed="false">
      <c r="A227" s="9"/>
      <c r="B227" s="9"/>
      <c r="C227" s="10" t="str">
        <f aca="false">IFERROR(INDEX(Criteres!$A$2:$A$1000,MATCH(B227,Criteres!$B$2:$B$1000,0)),"")</f>
        <v/>
      </c>
      <c r="D227" s="9"/>
      <c r="E227" s="9"/>
      <c r="F227" s="9"/>
      <c r="G227" s="9"/>
      <c r="H227" s="9"/>
      <c r="I227" s="9"/>
      <c r="J227" s="9"/>
      <c r="K227" s="10" t="str">
        <f aca="false">IF(A227="","",IF(E227="","à noter",IF(OR(E227&lt;0,E227&gt;10),"hors échelle",IF(AND(F227&lt;&gt;"",F227&gt;E227),"min &gt; valeur",IF(AND(G227&lt;&gt;"",G227&lt;E227),"max &lt; valeur",IF(J227="","sans source","ok"))))))</f>
        <v/>
      </c>
    </row>
    <row r="228" customFormat="false" ht="15" hidden="false" customHeight="false" outlineLevel="0" collapsed="false">
      <c r="A228" s="9"/>
      <c r="B228" s="9"/>
      <c r="C228" s="10" t="str">
        <f aca="false">IFERROR(INDEX(Criteres!$A$2:$A$1000,MATCH(B228,Criteres!$B$2:$B$1000,0)),"")</f>
        <v/>
      </c>
      <c r="D228" s="9"/>
      <c r="E228" s="9"/>
      <c r="F228" s="9"/>
      <c r="G228" s="9"/>
      <c r="H228" s="9"/>
      <c r="I228" s="9"/>
      <c r="J228" s="9"/>
      <c r="K228" s="10" t="str">
        <f aca="false">IF(A228="","",IF(E228="","à noter",IF(OR(E228&lt;0,E228&gt;10),"hors échelle",IF(AND(F228&lt;&gt;"",F228&gt;E228),"min &gt; valeur",IF(AND(G228&lt;&gt;"",G228&lt;E228),"max &lt; valeur",IF(J228="","sans source","ok"))))))</f>
        <v/>
      </c>
    </row>
    <row r="229" customFormat="false" ht="15" hidden="false" customHeight="false" outlineLevel="0" collapsed="false">
      <c r="A229" s="9"/>
      <c r="B229" s="9"/>
      <c r="C229" s="10" t="str">
        <f aca="false">IFERROR(INDEX(Criteres!$A$2:$A$1000,MATCH(B229,Criteres!$B$2:$B$1000,0)),"")</f>
        <v/>
      </c>
      <c r="D229" s="9"/>
      <c r="E229" s="9"/>
      <c r="F229" s="9"/>
      <c r="G229" s="9"/>
      <c r="H229" s="9"/>
      <c r="I229" s="9"/>
      <c r="J229" s="9"/>
      <c r="K229" s="10" t="str">
        <f aca="false">IF(A229="","",IF(E229="","à noter",IF(OR(E229&lt;0,E229&gt;10),"hors échelle",IF(AND(F229&lt;&gt;"",F229&gt;E229),"min &gt; valeur",IF(AND(G229&lt;&gt;"",G229&lt;E229),"max &lt; valeur",IF(J229="","sans source","ok"))))))</f>
        <v/>
      </c>
    </row>
    <row r="230" customFormat="false" ht="15" hidden="false" customHeight="false" outlineLevel="0" collapsed="false">
      <c r="A230" s="9"/>
      <c r="B230" s="9"/>
      <c r="C230" s="10" t="str">
        <f aca="false">IFERROR(INDEX(Criteres!$A$2:$A$1000,MATCH(B230,Criteres!$B$2:$B$1000,0)),"")</f>
        <v/>
      </c>
      <c r="D230" s="9"/>
      <c r="E230" s="9"/>
      <c r="F230" s="9"/>
      <c r="G230" s="9"/>
      <c r="H230" s="9"/>
      <c r="I230" s="9"/>
      <c r="J230" s="9"/>
      <c r="K230" s="10" t="str">
        <f aca="false">IF(A230="","",IF(E230="","à noter",IF(OR(E230&lt;0,E230&gt;10),"hors échelle",IF(AND(F230&lt;&gt;"",F230&gt;E230),"min &gt; valeur",IF(AND(G230&lt;&gt;"",G230&lt;E230),"max &lt; valeur",IF(J230="","sans source","ok"))))))</f>
        <v/>
      </c>
    </row>
    <row r="231" customFormat="false" ht="15" hidden="false" customHeight="false" outlineLevel="0" collapsed="false">
      <c r="A231" s="9"/>
      <c r="B231" s="9"/>
      <c r="C231" s="10" t="str">
        <f aca="false">IFERROR(INDEX(Criteres!$A$2:$A$1000,MATCH(B231,Criteres!$B$2:$B$1000,0)),"")</f>
        <v/>
      </c>
      <c r="D231" s="9"/>
      <c r="E231" s="9"/>
      <c r="F231" s="9"/>
      <c r="G231" s="9"/>
      <c r="H231" s="9"/>
      <c r="I231" s="9"/>
      <c r="J231" s="9"/>
      <c r="K231" s="10" t="str">
        <f aca="false">IF(A231="","",IF(E231="","à noter",IF(OR(E231&lt;0,E231&gt;10),"hors échelle",IF(AND(F231&lt;&gt;"",F231&gt;E231),"min &gt; valeur",IF(AND(G231&lt;&gt;"",G231&lt;E231),"max &lt; valeur",IF(J231="","sans source","ok"))))))</f>
        <v/>
      </c>
    </row>
    <row r="232" customFormat="false" ht="15" hidden="false" customHeight="false" outlineLevel="0" collapsed="false">
      <c r="A232" s="9"/>
      <c r="B232" s="9"/>
      <c r="C232" s="10" t="str">
        <f aca="false">IFERROR(INDEX(Criteres!$A$2:$A$1000,MATCH(B232,Criteres!$B$2:$B$1000,0)),"")</f>
        <v/>
      </c>
      <c r="D232" s="9"/>
      <c r="E232" s="9"/>
      <c r="F232" s="9"/>
      <c r="G232" s="9"/>
      <c r="H232" s="9"/>
      <c r="I232" s="9"/>
      <c r="J232" s="9"/>
      <c r="K232" s="10" t="str">
        <f aca="false">IF(A232="","",IF(E232="","à noter",IF(OR(E232&lt;0,E232&gt;10),"hors échelle",IF(AND(F232&lt;&gt;"",F232&gt;E232),"min &gt; valeur",IF(AND(G232&lt;&gt;"",G232&lt;E232),"max &lt; valeur",IF(J232="","sans source","ok"))))))</f>
        <v/>
      </c>
    </row>
    <row r="233" customFormat="false" ht="15" hidden="false" customHeight="false" outlineLevel="0" collapsed="false">
      <c r="A233" s="9"/>
      <c r="B233" s="9"/>
      <c r="C233" s="10" t="str">
        <f aca="false">IFERROR(INDEX(Criteres!$A$2:$A$1000,MATCH(B233,Criteres!$B$2:$B$1000,0)),"")</f>
        <v/>
      </c>
      <c r="D233" s="9"/>
      <c r="E233" s="9"/>
      <c r="F233" s="9"/>
      <c r="G233" s="9"/>
      <c r="H233" s="9"/>
      <c r="I233" s="9"/>
      <c r="J233" s="9"/>
      <c r="K233" s="10" t="str">
        <f aca="false">IF(A233="","",IF(E233="","à noter",IF(OR(E233&lt;0,E233&gt;10),"hors échelle",IF(AND(F233&lt;&gt;"",F233&gt;E233),"min &gt; valeur",IF(AND(G233&lt;&gt;"",G233&lt;E233),"max &lt; valeur",IF(J233="","sans source","ok"))))))</f>
        <v/>
      </c>
    </row>
    <row r="234" customFormat="false" ht="15" hidden="false" customHeight="false" outlineLevel="0" collapsed="false">
      <c r="A234" s="9"/>
      <c r="B234" s="9"/>
      <c r="C234" s="10" t="str">
        <f aca="false">IFERROR(INDEX(Criteres!$A$2:$A$1000,MATCH(B234,Criteres!$B$2:$B$1000,0)),"")</f>
        <v/>
      </c>
      <c r="D234" s="9"/>
      <c r="E234" s="9"/>
      <c r="F234" s="9"/>
      <c r="G234" s="9"/>
      <c r="H234" s="9"/>
      <c r="I234" s="9"/>
      <c r="J234" s="9"/>
      <c r="K234" s="10" t="str">
        <f aca="false">IF(A234="","",IF(E234="","à noter",IF(OR(E234&lt;0,E234&gt;10),"hors échelle",IF(AND(F234&lt;&gt;"",F234&gt;E234),"min &gt; valeur",IF(AND(G234&lt;&gt;"",G234&lt;E234),"max &lt; valeur",IF(J234="","sans source","ok"))))))</f>
        <v/>
      </c>
    </row>
    <row r="235" customFormat="false" ht="15" hidden="false" customHeight="false" outlineLevel="0" collapsed="false">
      <c r="A235" s="9"/>
      <c r="B235" s="9"/>
      <c r="C235" s="10" t="str">
        <f aca="false">IFERROR(INDEX(Criteres!$A$2:$A$1000,MATCH(B235,Criteres!$B$2:$B$1000,0)),"")</f>
        <v/>
      </c>
      <c r="D235" s="9"/>
      <c r="E235" s="9"/>
      <c r="F235" s="9"/>
      <c r="G235" s="9"/>
      <c r="H235" s="9"/>
      <c r="I235" s="9"/>
      <c r="J235" s="9"/>
      <c r="K235" s="10" t="str">
        <f aca="false">IF(A235="","",IF(E235="","à noter",IF(OR(E235&lt;0,E235&gt;10),"hors échelle",IF(AND(F235&lt;&gt;"",F235&gt;E235),"min &gt; valeur",IF(AND(G235&lt;&gt;"",G235&lt;E235),"max &lt; valeur",IF(J235="","sans source","ok"))))))</f>
        <v/>
      </c>
    </row>
    <row r="236" customFormat="false" ht="15" hidden="false" customHeight="false" outlineLevel="0" collapsed="false">
      <c r="A236" s="9"/>
      <c r="B236" s="9"/>
      <c r="C236" s="10" t="str">
        <f aca="false">IFERROR(INDEX(Criteres!$A$2:$A$1000,MATCH(B236,Criteres!$B$2:$B$1000,0)),"")</f>
        <v/>
      </c>
      <c r="D236" s="9"/>
      <c r="E236" s="9"/>
      <c r="F236" s="9"/>
      <c r="G236" s="9"/>
      <c r="H236" s="9"/>
      <c r="I236" s="9"/>
      <c r="J236" s="9"/>
      <c r="K236" s="10" t="str">
        <f aca="false">IF(A236="","",IF(E236="","à noter",IF(OR(E236&lt;0,E236&gt;10),"hors échelle",IF(AND(F236&lt;&gt;"",F236&gt;E236),"min &gt; valeur",IF(AND(G236&lt;&gt;"",G236&lt;E236),"max &lt; valeur",IF(J236="","sans source","ok"))))))</f>
        <v/>
      </c>
    </row>
    <row r="237" customFormat="false" ht="15" hidden="false" customHeight="false" outlineLevel="0" collapsed="false">
      <c r="A237" s="9"/>
      <c r="B237" s="9"/>
      <c r="C237" s="10" t="str">
        <f aca="false">IFERROR(INDEX(Criteres!$A$2:$A$1000,MATCH(B237,Criteres!$B$2:$B$1000,0)),"")</f>
        <v/>
      </c>
      <c r="D237" s="9"/>
      <c r="E237" s="9"/>
      <c r="F237" s="9"/>
      <c r="G237" s="9"/>
      <c r="H237" s="9"/>
      <c r="I237" s="9"/>
      <c r="J237" s="9"/>
      <c r="K237" s="10" t="str">
        <f aca="false">IF(A237="","",IF(E237="","à noter",IF(OR(E237&lt;0,E237&gt;10),"hors échelle",IF(AND(F237&lt;&gt;"",F237&gt;E237),"min &gt; valeur",IF(AND(G237&lt;&gt;"",G237&lt;E237),"max &lt; valeur",IF(J237="","sans source","ok"))))))</f>
        <v/>
      </c>
    </row>
    <row r="238" customFormat="false" ht="15" hidden="false" customHeight="false" outlineLevel="0" collapsed="false">
      <c r="A238" s="9"/>
      <c r="B238" s="9"/>
      <c r="C238" s="10" t="str">
        <f aca="false">IFERROR(INDEX(Criteres!$A$2:$A$1000,MATCH(B238,Criteres!$B$2:$B$1000,0)),"")</f>
        <v/>
      </c>
      <c r="D238" s="9"/>
      <c r="E238" s="9"/>
      <c r="F238" s="9"/>
      <c r="G238" s="9"/>
      <c r="H238" s="9"/>
      <c r="I238" s="9"/>
      <c r="J238" s="9"/>
      <c r="K238" s="10" t="str">
        <f aca="false">IF(A238="","",IF(E238="","à noter",IF(OR(E238&lt;0,E238&gt;10),"hors échelle",IF(AND(F238&lt;&gt;"",F238&gt;E238),"min &gt; valeur",IF(AND(G238&lt;&gt;"",G238&lt;E238),"max &lt; valeur",IF(J238="","sans source","ok"))))))</f>
        <v/>
      </c>
    </row>
    <row r="239" customFormat="false" ht="15" hidden="false" customHeight="false" outlineLevel="0" collapsed="false">
      <c r="A239" s="9"/>
      <c r="B239" s="9"/>
      <c r="C239" s="10" t="str">
        <f aca="false">IFERROR(INDEX(Criteres!$A$2:$A$1000,MATCH(B239,Criteres!$B$2:$B$1000,0)),"")</f>
        <v/>
      </c>
      <c r="D239" s="9"/>
      <c r="E239" s="9"/>
      <c r="F239" s="9"/>
      <c r="G239" s="9"/>
      <c r="H239" s="9"/>
      <c r="I239" s="9"/>
      <c r="J239" s="9"/>
      <c r="K239" s="10" t="str">
        <f aca="false">IF(A239="","",IF(E239="","à noter",IF(OR(E239&lt;0,E239&gt;10),"hors échelle",IF(AND(F239&lt;&gt;"",F239&gt;E239),"min &gt; valeur",IF(AND(G239&lt;&gt;"",G239&lt;E239),"max &lt; valeur",IF(J239="","sans source","ok"))))))</f>
        <v/>
      </c>
    </row>
    <row r="240" customFormat="false" ht="15" hidden="false" customHeight="false" outlineLevel="0" collapsed="false">
      <c r="A240" s="9"/>
      <c r="B240" s="9"/>
      <c r="C240" s="10" t="str">
        <f aca="false">IFERROR(INDEX(Criteres!$A$2:$A$1000,MATCH(B240,Criteres!$B$2:$B$1000,0)),"")</f>
        <v/>
      </c>
      <c r="D240" s="9"/>
      <c r="E240" s="9"/>
      <c r="F240" s="9"/>
      <c r="G240" s="9"/>
      <c r="H240" s="9"/>
      <c r="I240" s="9"/>
      <c r="J240" s="9"/>
      <c r="K240" s="10" t="str">
        <f aca="false">IF(A240="","",IF(E240="","à noter",IF(OR(E240&lt;0,E240&gt;10),"hors échelle",IF(AND(F240&lt;&gt;"",F240&gt;E240),"min &gt; valeur",IF(AND(G240&lt;&gt;"",G240&lt;E240),"max &lt; valeur",IF(J240="","sans source","ok"))))))</f>
        <v/>
      </c>
    </row>
    <row r="241" customFormat="false" ht="15" hidden="false" customHeight="false" outlineLevel="0" collapsed="false">
      <c r="A241" s="9"/>
      <c r="B241" s="9"/>
      <c r="C241" s="10" t="str">
        <f aca="false">IFERROR(INDEX(Criteres!$A$2:$A$1000,MATCH(B241,Criteres!$B$2:$B$1000,0)),"")</f>
        <v/>
      </c>
      <c r="D241" s="9"/>
      <c r="E241" s="9"/>
      <c r="F241" s="9"/>
      <c r="G241" s="9"/>
      <c r="H241" s="9"/>
      <c r="I241" s="9"/>
      <c r="J241" s="9"/>
      <c r="K241" s="10" t="str">
        <f aca="false">IF(A241="","",IF(E241="","à noter",IF(OR(E241&lt;0,E241&gt;10),"hors échelle",IF(AND(F241&lt;&gt;"",F241&gt;E241),"min &gt; valeur",IF(AND(G241&lt;&gt;"",G241&lt;E241),"max &lt; valeur",IF(J241="","sans source","ok"))))))</f>
        <v/>
      </c>
    </row>
    <row r="242" customFormat="false" ht="15" hidden="false" customHeight="false" outlineLevel="0" collapsed="false">
      <c r="A242" s="9"/>
      <c r="B242" s="9"/>
      <c r="C242" s="10" t="str">
        <f aca="false">IFERROR(INDEX(Criteres!$A$2:$A$1000,MATCH(B242,Criteres!$B$2:$B$1000,0)),"")</f>
        <v/>
      </c>
      <c r="D242" s="9"/>
      <c r="E242" s="9"/>
      <c r="F242" s="9"/>
      <c r="G242" s="9"/>
      <c r="H242" s="9"/>
      <c r="I242" s="9"/>
      <c r="J242" s="9"/>
      <c r="K242" s="10" t="str">
        <f aca="false">IF(A242="","",IF(E242="","à noter",IF(OR(E242&lt;0,E242&gt;10),"hors échelle",IF(AND(F242&lt;&gt;"",F242&gt;E242),"min &gt; valeur",IF(AND(G242&lt;&gt;"",G242&lt;E242),"max &lt; valeur",IF(J242="","sans source","ok"))))))</f>
        <v/>
      </c>
    </row>
    <row r="243" customFormat="false" ht="15" hidden="false" customHeight="false" outlineLevel="0" collapsed="false">
      <c r="A243" s="9"/>
      <c r="B243" s="9"/>
      <c r="C243" s="10" t="str">
        <f aca="false">IFERROR(INDEX(Criteres!$A$2:$A$1000,MATCH(B243,Criteres!$B$2:$B$1000,0)),"")</f>
        <v/>
      </c>
      <c r="D243" s="9"/>
      <c r="E243" s="9"/>
      <c r="F243" s="9"/>
      <c r="G243" s="9"/>
      <c r="H243" s="9"/>
      <c r="I243" s="9"/>
      <c r="J243" s="9"/>
      <c r="K243" s="10" t="str">
        <f aca="false">IF(A243="","",IF(E243="","à noter",IF(OR(E243&lt;0,E243&gt;10),"hors échelle",IF(AND(F243&lt;&gt;"",F243&gt;E243),"min &gt; valeur",IF(AND(G243&lt;&gt;"",G243&lt;E243),"max &lt; valeur",IF(J243="","sans source","ok"))))))</f>
        <v/>
      </c>
    </row>
    <row r="244" customFormat="false" ht="15" hidden="false" customHeight="false" outlineLevel="0" collapsed="false">
      <c r="A244" s="9"/>
      <c r="B244" s="9"/>
      <c r="C244" s="10" t="str">
        <f aca="false">IFERROR(INDEX(Criteres!$A$2:$A$1000,MATCH(B244,Criteres!$B$2:$B$1000,0)),"")</f>
        <v/>
      </c>
      <c r="D244" s="9"/>
      <c r="E244" s="9"/>
      <c r="F244" s="9"/>
      <c r="G244" s="9"/>
      <c r="H244" s="9"/>
      <c r="I244" s="9"/>
      <c r="J244" s="9"/>
      <c r="K244" s="10" t="str">
        <f aca="false">IF(A244="","",IF(E244="","à noter",IF(OR(E244&lt;0,E244&gt;10),"hors échelle",IF(AND(F244&lt;&gt;"",F244&gt;E244),"min &gt; valeur",IF(AND(G244&lt;&gt;"",G244&lt;E244),"max &lt; valeur",IF(J244="","sans source","ok"))))))</f>
        <v/>
      </c>
    </row>
    <row r="245" customFormat="false" ht="15" hidden="false" customHeight="false" outlineLevel="0" collapsed="false">
      <c r="A245" s="9"/>
      <c r="B245" s="9"/>
      <c r="C245" s="10" t="str">
        <f aca="false">IFERROR(INDEX(Criteres!$A$2:$A$1000,MATCH(B245,Criteres!$B$2:$B$1000,0)),"")</f>
        <v/>
      </c>
      <c r="D245" s="9"/>
      <c r="E245" s="9"/>
      <c r="F245" s="9"/>
      <c r="G245" s="9"/>
      <c r="H245" s="9"/>
      <c r="I245" s="9"/>
      <c r="J245" s="9"/>
      <c r="K245" s="10" t="str">
        <f aca="false">IF(A245="","",IF(E245="","à noter",IF(OR(E245&lt;0,E245&gt;10),"hors échelle",IF(AND(F245&lt;&gt;"",F245&gt;E245),"min &gt; valeur",IF(AND(G245&lt;&gt;"",G245&lt;E245),"max &lt; valeur",IF(J245="","sans source","ok"))))))</f>
        <v/>
      </c>
    </row>
    <row r="246" customFormat="false" ht="15" hidden="false" customHeight="false" outlineLevel="0" collapsed="false">
      <c r="A246" s="9"/>
      <c r="B246" s="9"/>
      <c r="C246" s="10" t="str">
        <f aca="false">IFERROR(INDEX(Criteres!$A$2:$A$1000,MATCH(B246,Criteres!$B$2:$B$1000,0)),"")</f>
        <v/>
      </c>
      <c r="D246" s="9"/>
      <c r="E246" s="9"/>
      <c r="F246" s="9"/>
      <c r="G246" s="9"/>
      <c r="H246" s="9"/>
      <c r="I246" s="9"/>
      <c r="J246" s="9"/>
      <c r="K246" s="10" t="str">
        <f aca="false">IF(A246="","",IF(E246="","à noter",IF(OR(E246&lt;0,E246&gt;10),"hors échelle",IF(AND(F246&lt;&gt;"",F246&gt;E246),"min &gt; valeur",IF(AND(G246&lt;&gt;"",G246&lt;E246),"max &lt; valeur",IF(J246="","sans source","ok"))))))</f>
        <v/>
      </c>
    </row>
    <row r="247" customFormat="false" ht="15" hidden="false" customHeight="false" outlineLevel="0" collapsed="false">
      <c r="A247" s="9"/>
      <c r="B247" s="9"/>
      <c r="C247" s="10" t="str">
        <f aca="false">IFERROR(INDEX(Criteres!$A$2:$A$1000,MATCH(B247,Criteres!$B$2:$B$1000,0)),"")</f>
        <v/>
      </c>
      <c r="D247" s="9"/>
      <c r="E247" s="9"/>
      <c r="F247" s="9"/>
      <c r="G247" s="9"/>
      <c r="H247" s="9"/>
      <c r="I247" s="9"/>
      <c r="J247" s="9"/>
      <c r="K247" s="10" t="str">
        <f aca="false">IF(A247="","",IF(E247="","à noter",IF(OR(E247&lt;0,E247&gt;10),"hors échelle",IF(AND(F247&lt;&gt;"",F247&gt;E247),"min &gt; valeur",IF(AND(G247&lt;&gt;"",G247&lt;E247),"max &lt; valeur",IF(J247="","sans source","ok"))))))</f>
        <v/>
      </c>
    </row>
    <row r="248" customFormat="false" ht="15" hidden="false" customHeight="false" outlineLevel="0" collapsed="false">
      <c r="A248" s="9"/>
      <c r="B248" s="9"/>
      <c r="C248" s="10" t="str">
        <f aca="false">IFERROR(INDEX(Criteres!$A$2:$A$1000,MATCH(B248,Criteres!$B$2:$B$1000,0)),"")</f>
        <v/>
      </c>
      <c r="D248" s="9"/>
      <c r="E248" s="9"/>
      <c r="F248" s="9"/>
      <c r="G248" s="9"/>
      <c r="H248" s="9"/>
      <c r="I248" s="9"/>
      <c r="J248" s="9"/>
      <c r="K248" s="10" t="str">
        <f aca="false">IF(A248="","",IF(E248="","à noter",IF(OR(E248&lt;0,E248&gt;10),"hors échelle",IF(AND(F248&lt;&gt;"",F248&gt;E248),"min &gt; valeur",IF(AND(G248&lt;&gt;"",G248&lt;E248),"max &lt; valeur",IF(J248="","sans source","ok"))))))</f>
        <v/>
      </c>
    </row>
    <row r="249" customFormat="false" ht="15" hidden="false" customHeight="false" outlineLevel="0" collapsed="false">
      <c r="A249" s="9"/>
      <c r="B249" s="9"/>
      <c r="C249" s="10" t="str">
        <f aca="false">IFERROR(INDEX(Criteres!$A$2:$A$1000,MATCH(B249,Criteres!$B$2:$B$1000,0)),"")</f>
        <v/>
      </c>
      <c r="D249" s="9"/>
      <c r="E249" s="9"/>
      <c r="F249" s="9"/>
      <c r="G249" s="9"/>
      <c r="H249" s="9"/>
      <c r="I249" s="9"/>
      <c r="J249" s="9"/>
      <c r="K249" s="10" t="str">
        <f aca="false">IF(A249="","",IF(E249="","à noter",IF(OR(E249&lt;0,E249&gt;10),"hors échelle",IF(AND(F249&lt;&gt;"",F249&gt;E249),"min &gt; valeur",IF(AND(G249&lt;&gt;"",G249&lt;E249),"max &lt; valeur",IF(J249="","sans source","ok"))))))</f>
        <v/>
      </c>
    </row>
    <row r="250" customFormat="false" ht="15" hidden="false" customHeight="false" outlineLevel="0" collapsed="false">
      <c r="A250" s="9"/>
      <c r="B250" s="9"/>
      <c r="C250" s="10" t="str">
        <f aca="false">IFERROR(INDEX(Criteres!$A$2:$A$1000,MATCH(B250,Criteres!$B$2:$B$1000,0)),"")</f>
        <v/>
      </c>
      <c r="D250" s="9"/>
      <c r="E250" s="9"/>
      <c r="F250" s="9"/>
      <c r="G250" s="9"/>
      <c r="H250" s="9"/>
      <c r="I250" s="9"/>
      <c r="J250" s="9"/>
      <c r="K250" s="10" t="str">
        <f aca="false">IF(A250="","",IF(E250="","à noter",IF(OR(E250&lt;0,E250&gt;10),"hors échelle",IF(AND(F250&lt;&gt;"",F250&gt;E250),"min &gt; valeur",IF(AND(G250&lt;&gt;"",G250&lt;E250),"max &lt; valeur",IF(J250="","sans source","ok"))))))</f>
        <v/>
      </c>
    </row>
    <row r="251" customFormat="false" ht="15" hidden="false" customHeight="false" outlineLevel="0" collapsed="false">
      <c r="A251" s="9"/>
      <c r="B251" s="9"/>
      <c r="C251" s="10" t="str">
        <f aca="false">IFERROR(INDEX(Criteres!$A$2:$A$1000,MATCH(B251,Criteres!$B$2:$B$1000,0)),"")</f>
        <v/>
      </c>
      <c r="D251" s="9"/>
      <c r="E251" s="9"/>
      <c r="F251" s="9"/>
      <c r="G251" s="9"/>
      <c r="H251" s="9"/>
      <c r="I251" s="9"/>
      <c r="J251" s="9"/>
      <c r="K251" s="10" t="str">
        <f aca="false">IF(A251="","",IF(E251="","à noter",IF(OR(E251&lt;0,E251&gt;10),"hors échelle",IF(AND(F251&lt;&gt;"",F251&gt;E251),"min &gt; valeur",IF(AND(G251&lt;&gt;"",G251&lt;E251),"max &lt; valeur",IF(J251="","sans source","ok"))))))</f>
        <v/>
      </c>
    </row>
    <row r="252" customFormat="false" ht="15" hidden="false" customHeight="false" outlineLevel="0" collapsed="false">
      <c r="A252" s="9"/>
      <c r="B252" s="9"/>
      <c r="C252" s="10" t="str">
        <f aca="false">IFERROR(INDEX(Criteres!$A$2:$A$1000,MATCH(B252,Criteres!$B$2:$B$1000,0)),"")</f>
        <v/>
      </c>
      <c r="D252" s="9"/>
      <c r="E252" s="9"/>
      <c r="F252" s="9"/>
      <c r="G252" s="9"/>
      <c r="H252" s="9"/>
      <c r="I252" s="9"/>
      <c r="J252" s="9"/>
      <c r="K252" s="10" t="str">
        <f aca="false">IF(A252="","",IF(E252="","à noter",IF(OR(E252&lt;0,E252&gt;10),"hors échelle",IF(AND(F252&lt;&gt;"",F252&gt;E252),"min &gt; valeur",IF(AND(G252&lt;&gt;"",G252&lt;E252),"max &lt; valeur",IF(J252="","sans source","ok"))))))</f>
        <v/>
      </c>
    </row>
    <row r="253" customFormat="false" ht="15" hidden="false" customHeight="false" outlineLevel="0" collapsed="false">
      <c r="A253" s="9"/>
      <c r="B253" s="9"/>
      <c r="C253" s="10" t="str">
        <f aca="false">IFERROR(INDEX(Criteres!$A$2:$A$1000,MATCH(B253,Criteres!$B$2:$B$1000,0)),"")</f>
        <v/>
      </c>
      <c r="D253" s="9"/>
      <c r="E253" s="9"/>
      <c r="F253" s="9"/>
      <c r="G253" s="9"/>
      <c r="H253" s="9"/>
      <c r="I253" s="9"/>
      <c r="J253" s="9"/>
      <c r="K253" s="10" t="str">
        <f aca="false">IF(A253="","",IF(E253="","à noter",IF(OR(E253&lt;0,E253&gt;10),"hors échelle",IF(AND(F253&lt;&gt;"",F253&gt;E253),"min &gt; valeur",IF(AND(G253&lt;&gt;"",G253&lt;E253),"max &lt; valeur",IF(J253="","sans source","ok"))))))</f>
        <v/>
      </c>
    </row>
    <row r="254" customFormat="false" ht="15" hidden="false" customHeight="false" outlineLevel="0" collapsed="false">
      <c r="A254" s="9"/>
      <c r="B254" s="9"/>
      <c r="C254" s="10" t="str">
        <f aca="false">IFERROR(INDEX(Criteres!$A$2:$A$1000,MATCH(B254,Criteres!$B$2:$B$1000,0)),"")</f>
        <v/>
      </c>
      <c r="D254" s="9"/>
      <c r="E254" s="9"/>
      <c r="F254" s="9"/>
      <c r="G254" s="9"/>
      <c r="H254" s="9"/>
      <c r="I254" s="9"/>
      <c r="J254" s="9"/>
      <c r="K254" s="10" t="str">
        <f aca="false">IF(A254="","",IF(E254="","à noter",IF(OR(E254&lt;0,E254&gt;10),"hors échelle",IF(AND(F254&lt;&gt;"",F254&gt;E254),"min &gt; valeur",IF(AND(G254&lt;&gt;"",G254&lt;E254),"max &lt; valeur",IF(J254="","sans source","ok"))))))</f>
        <v/>
      </c>
    </row>
    <row r="255" customFormat="false" ht="15" hidden="false" customHeight="false" outlineLevel="0" collapsed="false">
      <c r="A255" s="9"/>
      <c r="B255" s="9"/>
      <c r="C255" s="10" t="str">
        <f aca="false">IFERROR(INDEX(Criteres!$A$2:$A$1000,MATCH(B255,Criteres!$B$2:$B$1000,0)),"")</f>
        <v/>
      </c>
      <c r="D255" s="9"/>
      <c r="E255" s="9"/>
      <c r="F255" s="9"/>
      <c r="G255" s="9"/>
      <c r="H255" s="9"/>
      <c r="I255" s="9"/>
      <c r="J255" s="9"/>
      <c r="K255" s="10" t="str">
        <f aca="false">IF(A255="","",IF(E255="","à noter",IF(OR(E255&lt;0,E255&gt;10),"hors échelle",IF(AND(F255&lt;&gt;"",F255&gt;E255),"min &gt; valeur",IF(AND(G255&lt;&gt;"",G255&lt;E255),"max &lt; valeur",IF(J255="","sans source","ok"))))))</f>
        <v/>
      </c>
    </row>
    <row r="256" customFormat="false" ht="15" hidden="false" customHeight="false" outlineLevel="0" collapsed="false">
      <c r="A256" s="9"/>
      <c r="B256" s="9"/>
      <c r="C256" s="10" t="str">
        <f aca="false">IFERROR(INDEX(Criteres!$A$2:$A$1000,MATCH(B256,Criteres!$B$2:$B$1000,0)),"")</f>
        <v/>
      </c>
      <c r="D256" s="9"/>
      <c r="E256" s="9"/>
      <c r="F256" s="9"/>
      <c r="G256" s="9"/>
      <c r="H256" s="9"/>
      <c r="I256" s="9"/>
      <c r="J256" s="9"/>
      <c r="K256" s="10" t="str">
        <f aca="false">IF(A256="","",IF(E256="","à noter",IF(OR(E256&lt;0,E256&gt;10),"hors échelle",IF(AND(F256&lt;&gt;"",F256&gt;E256),"min &gt; valeur",IF(AND(G256&lt;&gt;"",G256&lt;E256),"max &lt; valeur",IF(J256="","sans source","ok"))))))</f>
        <v/>
      </c>
    </row>
    <row r="257" customFormat="false" ht="15" hidden="false" customHeight="false" outlineLevel="0" collapsed="false">
      <c r="A257" s="9"/>
      <c r="B257" s="9"/>
      <c r="C257" s="10" t="str">
        <f aca="false">IFERROR(INDEX(Criteres!$A$2:$A$1000,MATCH(B257,Criteres!$B$2:$B$1000,0)),"")</f>
        <v/>
      </c>
      <c r="D257" s="9"/>
      <c r="E257" s="9"/>
      <c r="F257" s="9"/>
      <c r="G257" s="9"/>
      <c r="H257" s="9"/>
      <c r="I257" s="9"/>
      <c r="J257" s="9"/>
      <c r="K257" s="10" t="str">
        <f aca="false">IF(A257="","",IF(E257="","à noter",IF(OR(E257&lt;0,E257&gt;10),"hors échelle",IF(AND(F257&lt;&gt;"",F257&gt;E257),"min &gt; valeur",IF(AND(G257&lt;&gt;"",G257&lt;E257),"max &lt; valeur",IF(J257="","sans source","ok"))))))</f>
        <v/>
      </c>
    </row>
    <row r="258" customFormat="false" ht="15" hidden="false" customHeight="false" outlineLevel="0" collapsed="false">
      <c r="A258" s="9"/>
      <c r="B258" s="9"/>
      <c r="C258" s="10" t="str">
        <f aca="false">IFERROR(INDEX(Criteres!$A$2:$A$1000,MATCH(B258,Criteres!$B$2:$B$1000,0)),"")</f>
        <v/>
      </c>
      <c r="D258" s="9"/>
      <c r="E258" s="9"/>
      <c r="F258" s="9"/>
      <c r="G258" s="9"/>
      <c r="H258" s="9"/>
      <c r="I258" s="9"/>
      <c r="J258" s="9"/>
      <c r="K258" s="10" t="str">
        <f aca="false">IF(A258="","",IF(E258="","à noter",IF(OR(E258&lt;0,E258&gt;10),"hors échelle",IF(AND(F258&lt;&gt;"",F258&gt;E258),"min &gt; valeur",IF(AND(G258&lt;&gt;"",G258&lt;E258),"max &lt; valeur",IF(J258="","sans source","ok"))))))</f>
        <v/>
      </c>
    </row>
    <row r="259" customFormat="false" ht="15" hidden="false" customHeight="false" outlineLevel="0" collapsed="false">
      <c r="A259" s="9"/>
      <c r="B259" s="9"/>
      <c r="C259" s="10" t="str">
        <f aca="false">IFERROR(INDEX(Criteres!$A$2:$A$1000,MATCH(B259,Criteres!$B$2:$B$1000,0)),"")</f>
        <v/>
      </c>
      <c r="D259" s="9"/>
      <c r="E259" s="9"/>
      <c r="F259" s="9"/>
      <c r="G259" s="9"/>
      <c r="H259" s="9"/>
      <c r="I259" s="9"/>
      <c r="J259" s="9"/>
      <c r="K259" s="10" t="str">
        <f aca="false">IF(A259="","",IF(E259="","à noter",IF(OR(E259&lt;0,E259&gt;10),"hors échelle",IF(AND(F259&lt;&gt;"",F259&gt;E259),"min &gt; valeur",IF(AND(G259&lt;&gt;"",G259&lt;E259),"max &lt; valeur",IF(J259="","sans source","ok"))))))</f>
        <v/>
      </c>
    </row>
    <row r="260" customFormat="false" ht="15" hidden="false" customHeight="false" outlineLevel="0" collapsed="false">
      <c r="A260" s="9"/>
      <c r="B260" s="9"/>
      <c r="C260" s="10" t="str">
        <f aca="false">IFERROR(INDEX(Criteres!$A$2:$A$1000,MATCH(B260,Criteres!$B$2:$B$1000,0)),"")</f>
        <v/>
      </c>
      <c r="D260" s="9"/>
      <c r="E260" s="9"/>
      <c r="F260" s="9"/>
      <c r="G260" s="9"/>
      <c r="H260" s="9"/>
      <c r="I260" s="9"/>
      <c r="J260" s="9"/>
      <c r="K260" s="10" t="str">
        <f aca="false">IF(A260="","",IF(E260="","à noter",IF(OR(E260&lt;0,E260&gt;10),"hors échelle",IF(AND(F260&lt;&gt;"",F260&gt;E260),"min &gt; valeur",IF(AND(G260&lt;&gt;"",G260&lt;E260),"max &lt; valeur",IF(J260="","sans source","ok"))))))</f>
        <v/>
      </c>
    </row>
    <row r="261" customFormat="false" ht="15" hidden="false" customHeight="false" outlineLevel="0" collapsed="false">
      <c r="A261" s="9"/>
      <c r="B261" s="9"/>
      <c r="C261" s="10" t="str">
        <f aca="false">IFERROR(INDEX(Criteres!$A$2:$A$1000,MATCH(B261,Criteres!$B$2:$B$1000,0)),"")</f>
        <v/>
      </c>
      <c r="D261" s="9"/>
      <c r="E261" s="9"/>
      <c r="F261" s="9"/>
      <c r="G261" s="9"/>
      <c r="H261" s="9"/>
      <c r="I261" s="9"/>
      <c r="J261" s="9"/>
      <c r="K261" s="10" t="str">
        <f aca="false">IF(A261="","",IF(E261="","à noter",IF(OR(E261&lt;0,E261&gt;10),"hors échelle",IF(AND(F261&lt;&gt;"",F261&gt;E261),"min &gt; valeur",IF(AND(G261&lt;&gt;"",G261&lt;E261),"max &lt; valeur",IF(J261="","sans source","ok"))))))</f>
        <v/>
      </c>
    </row>
    <row r="262" customFormat="false" ht="15" hidden="false" customHeight="false" outlineLevel="0" collapsed="false">
      <c r="A262" s="9"/>
      <c r="B262" s="9"/>
      <c r="C262" s="10" t="str">
        <f aca="false">IFERROR(INDEX(Criteres!$A$2:$A$1000,MATCH(B262,Criteres!$B$2:$B$1000,0)),"")</f>
        <v/>
      </c>
      <c r="D262" s="9"/>
      <c r="E262" s="9"/>
      <c r="F262" s="9"/>
      <c r="G262" s="9"/>
      <c r="H262" s="9"/>
      <c r="I262" s="9"/>
      <c r="J262" s="9"/>
      <c r="K262" s="10" t="str">
        <f aca="false">IF(A262="","",IF(E262="","à noter",IF(OR(E262&lt;0,E262&gt;10),"hors échelle",IF(AND(F262&lt;&gt;"",F262&gt;E262),"min &gt; valeur",IF(AND(G262&lt;&gt;"",G262&lt;E262),"max &lt; valeur",IF(J262="","sans source","ok"))))))</f>
        <v/>
      </c>
    </row>
    <row r="263" customFormat="false" ht="15" hidden="false" customHeight="false" outlineLevel="0" collapsed="false">
      <c r="A263" s="9"/>
      <c r="B263" s="9"/>
      <c r="C263" s="10" t="str">
        <f aca="false">IFERROR(INDEX(Criteres!$A$2:$A$1000,MATCH(B263,Criteres!$B$2:$B$1000,0)),"")</f>
        <v/>
      </c>
      <c r="D263" s="9"/>
      <c r="E263" s="9"/>
      <c r="F263" s="9"/>
      <c r="G263" s="9"/>
      <c r="H263" s="9"/>
      <c r="I263" s="9"/>
      <c r="J263" s="9"/>
      <c r="K263" s="10" t="str">
        <f aca="false">IF(A263="","",IF(E263="","à noter",IF(OR(E263&lt;0,E263&gt;10),"hors échelle",IF(AND(F263&lt;&gt;"",F263&gt;E263),"min &gt; valeur",IF(AND(G263&lt;&gt;"",G263&lt;E263),"max &lt; valeur",IF(J263="","sans source","ok"))))))</f>
        <v/>
      </c>
    </row>
  </sheetData>
  <autoFilter ref="A1:K263"/>
  <conditionalFormatting sqref="K2:K263">
    <cfRule type="expression" priority="2" aboveAverage="0" equalAverage="0" bottom="0" percent="0" rank="0" text="" dxfId="6">
      <formula>AND(K2&lt;&gt;"",K2&lt;&gt;"ok")</formula>
    </cfRule>
  </conditionalFormatting>
  <dataValidations count="5">
    <dataValidation allowBlank="true" error="Choisis une valeur de la liste (onglet Listes)." errorStyle="stop" errorTitle="Valeur non autorisée" operator="between" showDropDown="false" showErrorMessage="true" showInputMessage="false" sqref="D2:D263" type="list">
      <formula1>Listes!$F$2:$F$3</formula1>
      <formula2>0</formula2>
    </dataValidation>
    <dataValidation allowBlank="true" error="Choisis une valeur de la liste (onglet Listes)." errorStyle="stop" errorTitle="Valeur non autorisée" operator="between" showDropDown="false" showErrorMessage="true" showInputMessage="false" sqref="H2:H263" type="list">
      <formula1>Listes!$H$2:$H$3</formula1>
      <formula2>0</formula2>
    </dataValidation>
    <dataValidation allowBlank="true" errorStyle="stop" operator="between" showDropDown="false" showErrorMessage="false" showInputMessage="false" sqref="A2:A263" type="list">
      <formula1>Courants!$A$2:$A$74</formula1>
      <formula2>0</formula2>
    </dataValidation>
    <dataValidation allowBlank="true" errorStyle="stop" operator="between" showDropDown="false" showErrorMessage="false" showInputMessage="false" sqref="B2:B263" type="list">
      <formula1>Criteres!$B$2:$B$1000</formula1>
      <formula2>0</formula2>
    </dataValidation>
    <dataValidation allowBlank="true" error="Note entre 0 et 10" errorStyle="stop" operator="between" showDropDown="false" showErrorMessage="true" showInputMessage="false" sqref="E2:G263" type="decimal">
      <formula1>0</formula1>
      <formula2>10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9" min="2" style="0" width="9"/>
  </cols>
  <sheetData>
    <row r="1" customFormat="false" ht="30" hidden="false" customHeight="true" outlineLevel="0" collapsed="false">
      <c r="A1" s="7" t="s">
        <v>238</v>
      </c>
      <c r="B1" s="7" t="s">
        <v>309</v>
      </c>
      <c r="C1" s="7" t="s">
        <v>310</v>
      </c>
      <c r="D1" s="7" t="s">
        <v>311</v>
      </c>
      <c r="E1" s="7" t="s">
        <v>312</v>
      </c>
      <c r="F1" s="7" t="s">
        <v>313</v>
      </c>
      <c r="G1" s="7" t="s">
        <v>314</v>
      </c>
      <c r="H1" s="7" t="s">
        <v>315</v>
      </c>
      <c r="I1" s="7" t="s">
        <v>325</v>
      </c>
    </row>
    <row r="2" customFormat="false" ht="15" hidden="false" customHeight="false" outlineLevel="0" collapsed="false">
      <c r="A2" s="11" t="s">
        <v>126</v>
      </c>
      <c r="B2" s="12" t="str">
        <f aca="false">IFERROR(AVERAGEIFS(Scores!$E$2:$E$263,Scores!$A$2:$A$263,$A2,Scores!$B$2:$B$263,B$1,Scores!$D$2:$D$263,"doctrine"),"")</f>
        <v/>
      </c>
      <c r="C2" s="12" t="str">
        <f aca="false">IFERROR(AVERAGEIFS(Scores!$E$2:$E$263,Scores!$A$2:$A$263,$A2,Scores!$B$2:$B$263,C$1,Scores!$D$2:$D$263,"doctrine"),"")</f>
        <v/>
      </c>
      <c r="D2" s="12" t="str">
        <f aca="false">IFERROR(AVERAGEIFS(Scores!$E$2:$E$263,Scores!$A$2:$A$263,$A2,Scores!$B$2:$B$263,D$1,Scores!$D$2:$D$263,"doctrine"),"")</f>
        <v/>
      </c>
      <c r="E2" s="12" t="str">
        <f aca="false">IFERROR(AVERAGEIFS(Scores!$E$2:$E$263,Scores!$A$2:$A$263,$A2,Scores!$B$2:$B$263,E$1,Scores!$D$2:$D$263,"doctrine"),"")</f>
        <v/>
      </c>
      <c r="F2" s="12" t="str">
        <f aca="false">IFERROR(AVERAGEIFS(Scores!$E$2:$E$263,Scores!$A$2:$A$263,$A2,Scores!$B$2:$B$263,F$1,Scores!$D$2:$D$263,"doctrine"),"")</f>
        <v/>
      </c>
      <c r="G2" s="12" t="str">
        <f aca="false">IFERROR(AVERAGEIFS(Scores!$E$2:$E$263,Scores!$A$2:$A$263,$A2,Scores!$B$2:$B$263,G$1,Scores!$D$2:$D$263,"doctrine"),"")</f>
        <v/>
      </c>
      <c r="H2" s="12" t="str">
        <f aca="false">IFERROR(AVERAGEIFS(Scores!$E$2:$E$263,Scores!$A$2:$A$263,$A2,Scores!$B$2:$B$263,H$1,Scores!$D$2:$D$263,"doctrine"),"")</f>
        <v/>
      </c>
      <c r="I2" s="10" t="n">
        <f aca="false">COUNT(B2:H2)</f>
        <v>0</v>
      </c>
    </row>
    <row r="3" customFormat="false" ht="15" hidden="false" customHeight="false" outlineLevel="0" collapsed="false">
      <c r="A3" s="11" t="s">
        <v>102</v>
      </c>
      <c r="B3" s="12" t="str">
        <f aca="false">IFERROR(AVERAGEIFS(Scores!$E$2:$E$263,Scores!$A$2:$A$263,$A3,Scores!$B$2:$B$263,B$1,Scores!$D$2:$D$263,"doctrine"),"")</f>
        <v/>
      </c>
      <c r="C3" s="12" t="str">
        <f aca="false">IFERROR(AVERAGEIFS(Scores!$E$2:$E$263,Scores!$A$2:$A$263,$A3,Scores!$B$2:$B$263,C$1,Scores!$D$2:$D$263,"doctrine"),"")</f>
        <v/>
      </c>
      <c r="D3" s="12" t="str">
        <f aca="false">IFERROR(AVERAGEIFS(Scores!$E$2:$E$263,Scores!$A$2:$A$263,$A3,Scores!$B$2:$B$263,D$1,Scores!$D$2:$D$263,"doctrine"),"")</f>
        <v/>
      </c>
      <c r="E3" s="12" t="str">
        <f aca="false">IFERROR(AVERAGEIFS(Scores!$E$2:$E$263,Scores!$A$2:$A$263,$A3,Scores!$B$2:$B$263,E$1,Scores!$D$2:$D$263,"doctrine"),"")</f>
        <v/>
      </c>
      <c r="F3" s="12" t="str">
        <f aca="false">IFERROR(AVERAGEIFS(Scores!$E$2:$E$263,Scores!$A$2:$A$263,$A3,Scores!$B$2:$B$263,F$1,Scores!$D$2:$D$263,"doctrine"),"")</f>
        <v/>
      </c>
      <c r="G3" s="12" t="str">
        <f aca="false">IFERROR(AVERAGEIFS(Scores!$E$2:$E$263,Scores!$A$2:$A$263,$A3,Scores!$B$2:$B$263,G$1,Scores!$D$2:$D$263,"doctrine"),"")</f>
        <v/>
      </c>
      <c r="H3" s="12" t="str">
        <f aca="false">IFERROR(AVERAGEIFS(Scores!$E$2:$E$263,Scores!$A$2:$A$263,$A3,Scores!$B$2:$B$263,H$1,Scores!$D$2:$D$263,"doctrine"),"")</f>
        <v/>
      </c>
      <c r="I3" s="10" t="n">
        <f aca="false">COUNT(B3:H3)</f>
        <v>0</v>
      </c>
    </row>
    <row r="4" customFormat="false" ht="15" hidden="false" customHeight="false" outlineLevel="0" collapsed="false">
      <c r="A4" s="11" t="s">
        <v>163</v>
      </c>
      <c r="B4" s="12" t="str">
        <f aca="false">IFERROR(AVERAGEIFS(Scores!$E$2:$E$263,Scores!$A$2:$A$263,$A4,Scores!$B$2:$B$263,B$1,Scores!$D$2:$D$263,"doctrine"),"")</f>
        <v/>
      </c>
      <c r="C4" s="12" t="str">
        <f aca="false">IFERROR(AVERAGEIFS(Scores!$E$2:$E$263,Scores!$A$2:$A$263,$A4,Scores!$B$2:$B$263,C$1,Scores!$D$2:$D$263,"doctrine"),"")</f>
        <v/>
      </c>
      <c r="D4" s="12" t="str">
        <f aca="false">IFERROR(AVERAGEIFS(Scores!$E$2:$E$263,Scores!$A$2:$A$263,$A4,Scores!$B$2:$B$263,D$1,Scores!$D$2:$D$263,"doctrine"),"")</f>
        <v/>
      </c>
      <c r="E4" s="12" t="str">
        <f aca="false">IFERROR(AVERAGEIFS(Scores!$E$2:$E$263,Scores!$A$2:$A$263,$A4,Scores!$B$2:$B$263,E$1,Scores!$D$2:$D$263,"doctrine"),"")</f>
        <v/>
      </c>
      <c r="F4" s="12" t="str">
        <f aca="false">IFERROR(AVERAGEIFS(Scores!$E$2:$E$263,Scores!$A$2:$A$263,$A4,Scores!$B$2:$B$263,F$1,Scores!$D$2:$D$263,"doctrine"),"")</f>
        <v/>
      </c>
      <c r="G4" s="12" t="str">
        <f aca="false">IFERROR(AVERAGEIFS(Scores!$E$2:$E$263,Scores!$A$2:$A$263,$A4,Scores!$B$2:$B$263,G$1,Scores!$D$2:$D$263,"doctrine"),"")</f>
        <v/>
      </c>
      <c r="H4" s="12" t="str">
        <f aca="false">IFERROR(AVERAGEIFS(Scores!$E$2:$E$263,Scores!$A$2:$A$263,$A4,Scores!$B$2:$B$263,H$1,Scores!$D$2:$D$263,"doctrine"),"")</f>
        <v/>
      </c>
      <c r="I4" s="10" t="n">
        <f aca="false">COUNT(B4:H4)</f>
        <v>0</v>
      </c>
    </row>
    <row r="5" customFormat="false" ht="15" hidden="false" customHeight="false" outlineLevel="0" collapsed="false">
      <c r="A5" s="11" t="s">
        <v>94</v>
      </c>
      <c r="B5" s="12" t="str">
        <f aca="false">IFERROR(AVERAGEIFS(Scores!$E$2:$E$263,Scores!$A$2:$A$263,$A5,Scores!$B$2:$B$263,B$1,Scores!$D$2:$D$263,"doctrine"),"")</f>
        <v/>
      </c>
      <c r="C5" s="12" t="str">
        <f aca="false">IFERROR(AVERAGEIFS(Scores!$E$2:$E$263,Scores!$A$2:$A$263,$A5,Scores!$B$2:$B$263,C$1,Scores!$D$2:$D$263,"doctrine"),"")</f>
        <v/>
      </c>
      <c r="D5" s="12" t="str">
        <f aca="false">IFERROR(AVERAGEIFS(Scores!$E$2:$E$263,Scores!$A$2:$A$263,$A5,Scores!$B$2:$B$263,D$1,Scores!$D$2:$D$263,"doctrine"),"")</f>
        <v/>
      </c>
      <c r="E5" s="12" t="str">
        <f aca="false">IFERROR(AVERAGEIFS(Scores!$E$2:$E$263,Scores!$A$2:$A$263,$A5,Scores!$B$2:$B$263,E$1,Scores!$D$2:$D$263,"doctrine"),"")</f>
        <v/>
      </c>
      <c r="F5" s="12" t="str">
        <f aca="false">IFERROR(AVERAGEIFS(Scores!$E$2:$E$263,Scores!$A$2:$A$263,$A5,Scores!$B$2:$B$263,F$1,Scores!$D$2:$D$263,"doctrine"),"")</f>
        <v/>
      </c>
      <c r="G5" s="12" t="str">
        <f aca="false">IFERROR(AVERAGEIFS(Scores!$E$2:$E$263,Scores!$A$2:$A$263,$A5,Scores!$B$2:$B$263,G$1,Scores!$D$2:$D$263,"doctrine"),"")</f>
        <v/>
      </c>
      <c r="H5" s="12" t="str">
        <f aca="false">IFERROR(AVERAGEIFS(Scores!$E$2:$E$263,Scores!$A$2:$A$263,$A5,Scores!$B$2:$B$263,H$1,Scores!$D$2:$D$263,"doctrine"),"")</f>
        <v/>
      </c>
      <c r="I5" s="10" t="n">
        <f aca="false">COUNT(B5:H5)</f>
        <v>0</v>
      </c>
    </row>
    <row r="6" customFormat="false" ht="15" hidden="false" customHeight="false" outlineLevel="0" collapsed="false">
      <c r="A6" s="11" t="s">
        <v>61</v>
      </c>
      <c r="B6" s="12" t="str">
        <f aca="false">IFERROR(AVERAGEIFS(Scores!$E$2:$E$263,Scores!$A$2:$A$263,$A6,Scores!$B$2:$B$263,B$1,Scores!$D$2:$D$263,"doctrine"),"")</f>
        <v/>
      </c>
      <c r="C6" s="12" t="str">
        <f aca="false">IFERROR(AVERAGEIFS(Scores!$E$2:$E$263,Scores!$A$2:$A$263,$A6,Scores!$B$2:$B$263,C$1,Scores!$D$2:$D$263,"doctrine"),"")</f>
        <v/>
      </c>
      <c r="D6" s="12" t="str">
        <f aca="false">IFERROR(AVERAGEIFS(Scores!$E$2:$E$263,Scores!$A$2:$A$263,$A6,Scores!$B$2:$B$263,D$1,Scores!$D$2:$D$263,"doctrine"),"")</f>
        <v/>
      </c>
      <c r="E6" s="12" t="str">
        <f aca="false">IFERROR(AVERAGEIFS(Scores!$E$2:$E$263,Scores!$A$2:$A$263,$A6,Scores!$B$2:$B$263,E$1,Scores!$D$2:$D$263,"doctrine"),"")</f>
        <v/>
      </c>
      <c r="F6" s="12" t="str">
        <f aca="false">IFERROR(AVERAGEIFS(Scores!$E$2:$E$263,Scores!$A$2:$A$263,$A6,Scores!$B$2:$B$263,F$1,Scores!$D$2:$D$263,"doctrine"),"")</f>
        <v/>
      </c>
      <c r="G6" s="12" t="str">
        <f aca="false">IFERROR(AVERAGEIFS(Scores!$E$2:$E$263,Scores!$A$2:$A$263,$A6,Scores!$B$2:$B$263,G$1,Scores!$D$2:$D$263,"doctrine"),"")</f>
        <v/>
      </c>
      <c r="H6" s="12" t="str">
        <f aca="false">IFERROR(AVERAGEIFS(Scores!$E$2:$E$263,Scores!$A$2:$A$263,$A6,Scores!$B$2:$B$263,H$1,Scores!$D$2:$D$263,"doctrine"),"")</f>
        <v/>
      </c>
      <c r="I6" s="10" t="n">
        <f aca="false">COUNT(B6:H6)</f>
        <v>0</v>
      </c>
    </row>
    <row r="7" customFormat="false" ht="15" hidden="false" customHeight="false" outlineLevel="0" collapsed="false">
      <c r="A7" s="11" t="s">
        <v>66</v>
      </c>
      <c r="B7" s="12" t="str">
        <f aca="false">IFERROR(AVERAGEIFS(Scores!$E$2:$E$263,Scores!$A$2:$A$263,$A7,Scores!$B$2:$B$263,B$1,Scores!$D$2:$D$263,"doctrine"),"")</f>
        <v/>
      </c>
      <c r="C7" s="12" t="str">
        <f aca="false">IFERROR(AVERAGEIFS(Scores!$E$2:$E$263,Scores!$A$2:$A$263,$A7,Scores!$B$2:$B$263,C$1,Scores!$D$2:$D$263,"doctrine"),"")</f>
        <v/>
      </c>
      <c r="D7" s="12" t="str">
        <f aca="false">IFERROR(AVERAGEIFS(Scores!$E$2:$E$263,Scores!$A$2:$A$263,$A7,Scores!$B$2:$B$263,D$1,Scores!$D$2:$D$263,"doctrine"),"")</f>
        <v/>
      </c>
      <c r="E7" s="12" t="str">
        <f aca="false">IFERROR(AVERAGEIFS(Scores!$E$2:$E$263,Scores!$A$2:$A$263,$A7,Scores!$B$2:$B$263,E$1,Scores!$D$2:$D$263,"doctrine"),"")</f>
        <v/>
      </c>
      <c r="F7" s="12" t="str">
        <f aca="false">IFERROR(AVERAGEIFS(Scores!$E$2:$E$263,Scores!$A$2:$A$263,$A7,Scores!$B$2:$B$263,F$1,Scores!$D$2:$D$263,"doctrine"),"")</f>
        <v/>
      </c>
      <c r="G7" s="12" t="str">
        <f aca="false">IFERROR(AVERAGEIFS(Scores!$E$2:$E$263,Scores!$A$2:$A$263,$A7,Scores!$B$2:$B$263,G$1,Scores!$D$2:$D$263,"doctrine"),"")</f>
        <v/>
      </c>
      <c r="H7" s="12" t="str">
        <f aca="false">IFERROR(AVERAGEIFS(Scores!$E$2:$E$263,Scores!$A$2:$A$263,$A7,Scores!$B$2:$B$263,H$1,Scores!$D$2:$D$263,"doctrine"),"")</f>
        <v/>
      </c>
      <c r="I7" s="10" t="n">
        <f aca="false">COUNT(B7:H7)</f>
        <v>0</v>
      </c>
    </row>
    <row r="8" customFormat="false" ht="15" hidden="false" customHeight="false" outlineLevel="0" collapsed="false">
      <c r="A8" s="11" t="s">
        <v>80</v>
      </c>
      <c r="B8" s="12" t="str">
        <f aca="false">IFERROR(AVERAGEIFS(Scores!$E$2:$E$263,Scores!$A$2:$A$263,$A8,Scores!$B$2:$B$263,B$1,Scores!$D$2:$D$263,"doctrine"),"")</f>
        <v/>
      </c>
      <c r="C8" s="12" t="str">
        <f aca="false">IFERROR(AVERAGEIFS(Scores!$E$2:$E$263,Scores!$A$2:$A$263,$A8,Scores!$B$2:$B$263,C$1,Scores!$D$2:$D$263,"doctrine"),"")</f>
        <v/>
      </c>
      <c r="D8" s="12" t="str">
        <f aca="false">IFERROR(AVERAGEIFS(Scores!$E$2:$E$263,Scores!$A$2:$A$263,$A8,Scores!$B$2:$B$263,D$1,Scores!$D$2:$D$263,"doctrine"),"")</f>
        <v/>
      </c>
      <c r="E8" s="12" t="str">
        <f aca="false">IFERROR(AVERAGEIFS(Scores!$E$2:$E$263,Scores!$A$2:$A$263,$A8,Scores!$B$2:$B$263,E$1,Scores!$D$2:$D$263,"doctrine"),"")</f>
        <v/>
      </c>
      <c r="F8" s="12" t="str">
        <f aca="false">IFERROR(AVERAGEIFS(Scores!$E$2:$E$263,Scores!$A$2:$A$263,$A8,Scores!$B$2:$B$263,F$1,Scores!$D$2:$D$263,"doctrine"),"")</f>
        <v/>
      </c>
      <c r="G8" s="12" t="str">
        <f aca="false">IFERROR(AVERAGEIFS(Scores!$E$2:$E$263,Scores!$A$2:$A$263,$A8,Scores!$B$2:$B$263,G$1,Scores!$D$2:$D$263,"doctrine"),"")</f>
        <v/>
      </c>
      <c r="H8" s="12" t="str">
        <f aca="false">IFERROR(AVERAGEIFS(Scores!$E$2:$E$263,Scores!$A$2:$A$263,$A8,Scores!$B$2:$B$263,H$1,Scores!$D$2:$D$263,"doctrine"),"")</f>
        <v/>
      </c>
      <c r="I8" s="10" t="n">
        <f aca="false">COUNT(B8:H8)</f>
        <v>0</v>
      </c>
    </row>
    <row r="9" customFormat="false" ht="15" hidden="false" customHeight="false" outlineLevel="0" collapsed="false">
      <c r="A9" s="11" t="s">
        <v>122</v>
      </c>
      <c r="B9" s="12" t="str">
        <f aca="false">IFERROR(AVERAGEIFS(Scores!$E$2:$E$263,Scores!$A$2:$A$263,$A9,Scores!$B$2:$B$263,B$1,Scores!$D$2:$D$263,"doctrine"),"")</f>
        <v/>
      </c>
      <c r="C9" s="12" t="str">
        <f aca="false">IFERROR(AVERAGEIFS(Scores!$E$2:$E$263,Scores!$A$2:$A$263,$A9,Scores!$B$2:$B$263,C$1,Scores!$D$2:$D$263,"doctrine"),"")</f>
        <v/>
      </c>
      <c r="D9" s="12" t="str">
        <f aca="false">IFERROR(AVERAGEIFS(Scores!$E$2:$E$263,Scores!$A$2:$A$263,$A9,Scores!$B$2:$B$263,D$1,Scores!$D$2:$D$263,"doctrine"),"")</f>
        <v/>
      </c>
      <c r="E9" s="12" t="str">
        <f aca="false">IFERROR(AVERAGEIFS(Scores!$E$2:$E$263,Scores!$A$2:$A$263,$A9,Scores!$B$2:$B$263,E$1,Scores!$D$2:$D$263,"doctrine"),"")</f>
        <v/>
      </c>
      <c r="F9" s="12" t="str">
        <f aca="false">IFERROR(AVERAGEIFS(Scores!$E$2:$E$263,Scores!$A$2:$A$263,$A9,Scores!$B$2:$B$263,F$1,Scores!$D$2:$D$263,"doctrine"),"")</f>
        <v/>
      </c>
      <c r="G9" s="12" t="str">
        <f aca="false">IFERROR(AVERAGEIFS(Scores!$E$2:$E$263,Scores!$A$2:$A$263,$A9,Scores!$B$2:$B$263,G$1,Scores!$D$2:$D$263,"doctrine"),"")</f>
        <v/>
      </c>
      <c r="H9" s="12" t="str">
        <f aca="false">IFERROR(AVERAGEIFS(Scores!$E$2:$E$263,Scores!$A$2:$A$263,$A9,Scores!$B$2:$B$263,H$1,Scores!$D$2:$D$263,"doctrine"),"")</f>
        <v/>
      </c>
      <c r="I9" s="10" t="n">
        <f aca="false">COUNT(B9:H9)</f>
        <v>0</v>
      </c>
    </row>
    <row r="10" customFormat="false" ht="15" hidden="false" customHeight="false" outlineLevel="0" collapsed="false">
      <c r="A10" s="11" t="s">
        <v>147</v>
      </c>
      <c r="B10" s="12" t="str">
        <f aca="false">IFERROR(AVERAGEIFS(Scores!$E$2:$E$263,Scores!$A$2:$A$263,$A10,Scores!$B$2:$B$263,B$1,Scores!$D$2:$D$263,"doctrine"),"")</f>
        <v/>
      </c>
      <c r="C10" s="12" t="str">
        <f aca="false">IFERROR(AVERAGEIFS(Scores!$E$2:$E$263,Scores!$A$2:$A$263,$A10,Scores!$B$2:$B$263,C$1,Scores!$D$2:$D$263,"doctrine"),"")</f>
        <v/>
      </c>
      <c r="D10" s="12" t="str">
        <f aca="false">IFERROR(AVERAGEIFS(Scores!$E$2:$E$263,Scores!$A$2:$A$263,$A10,Scores!$B$2:$B$263,D$1,Scores!$D$2:$D$263,"doctrine"),"")</f>
        <v/>
      </c>
      <c r="E10" s="12" t="str">
        <f aca="false">IFERROR(AVERAGEIFS(Scores!$E$2:$E$263,Scores!$A$2:$A$263,$A10,Scores!$B$2:$B$263,E$1,Scores!$D$2:$D$263,"doctrine"),"")</f>
        <v/>
      </c>
      <c r="F10" s="12" t="str">
        <f aca="false">IFERROR(AVERAGEIFS(Scores!$E$2:$E$263,Scores!$A$2:$A$263,$A10,Scores!$B$2:$B$263,F$1,Scores!$D$2:$D$263,"doctrine"),"")</f>
        <v/>
      </c>
      <c r="G10" s="12" t="str">
        <f aca="false">IFERROR(AVERAGEIFS(Scores!$E$2:$E$263,Scores!$A$2:$A$263,$A10,Scores!$B$2:$B$263,G$1,Scores!$D$2:$D$263,"doctrine"),"")</f>
        <v/>
      </c>
      <c r="H10" s="12" t="str">
        <f aca="false">IFERROR(AVERAGEIFS(Scores!$E$2:$E$263,Scores!$A$2:$A$263,$A10,Scores!$B$2:$B$263,H$1,Scores!$D$2:$D$263,"doctrine"),"")</f>
        <v/>
      </c>
      <c r="I10" s="10" t="n">
        <f aca="false">COUNT(B10:H10)</f>
        <v>0</v>
      </c>
    </row>
    <row r="11" customFormat="false" ht="15" hidden="false" customHeight="false" outlineLevel="0" collapsed="false">
      <c r="A11" s="11" t="s">
        <v>160</v>
      </c>
      <c r="B11" s="12" t="str">
        <f aca="false">IFERROR(AVERAGEIFS(Scores!$E$2:$E$263,Scores!$A$2:$A$263,$A11,Scores!$B$2:$B$263,B$1,Scores!$D$2:$D$263,"doctrine"),"")</f>
        <v/>
      </c>
      <c r="C11" s="12" t="str">
        <f aca="false">IFERROR(AVERAGEIFS(Scores!$E$2:$E$263,Scores!$A$2:$A$263,$A11,Scores!$B$2:$B$263,C$1,Scores!$D$2:$D$263,"doctrine"),"")</f>
        <v/>
      </c>
      <c r="D11" s="12" t="str">
        <f aca="false">IFERROR(AVERAGEIFS(Scores!$E$2:$E$263,Scores!$A$2:$A$263,$A11,Scores!$B$2:$B$263,D$1,Scores!$D$2:$D$263,"doctrine"),"")</f>
        <v/>
      </c>
      <c r="E11" s="12" t="str">
        <f aca="false">IFERROR(AVERAGEIFS(Scores!$E$2:$E$263,Scores!$A$2:$A$263,$A11,Scores!$B$2:$B$263,E$1,Scores!$D$2:$D$263,"doctrine"),"")</f>
        <v/>
      </c>
      <c r="F11" s="12" t="str">
        <f aca="false">IFERROR(AVERAGEIFS(Scores!$E$2:$E$263,Scores!$A$2:$A$263,$A11,Scores!$B$2:$B$263,F$1,Scores!$D$2:$D$263,"doctrine"),"")</f>
        <v/>
      </c>
      <c r="G11" s="12" t="str">
        <f aca="false">IFERROR(AVERAGEIFS(Scores!$E$2:$E$263,Scores!$A$2:$A$263,$A11,Scores!$B$2:$B$263,G$1,Scores!$D$2:$D$263,"doctrine"),"")</f>
        <v/>
      </c>
      <c r="H11" s="12" t="str">
        <f aca="false">IFERROR(AVERAGEIFS(Scores!$E$2:$E$263,Scores!$A$2:$A$263,$A11,Scores!$B$2:$B$263,H$1,Scores!$D$2:$D$263,"doctrine"),"")</f>
        <v/>
      </c>
      <c r="I11" s="10" t="n">
        <f aca="false">COUNT(B11:H11)</f>
        <v>0</v>
      </c>
    </row>
    <row r="12" customFormat="false" ht="15" hidden="false" customHeight="false" outlineLevel="0" collapsed="false">
      <c r="A12" s="11" t="s">
        <v>173</v>
      </c>
      <c r="B12" s="12" t="str">
        <f aca="false">IFERROR(AVERAGEIFS(Scores!$E$2:$E$263,Scores!$A$2:$A$263,$A12,Scores!$B$2:$B$263,B$1,Scores!$D$2:$D$263,"doctrine"),"")</f>
        <v/>
      </c>
      <c r="C12" s="12" t="str">
        <f aca="false">IFERROR(AVERAGEIFS(Scores!$E$2:$E$263,Scores!$A$2:$A$263,$A12,Scores!$B$2:$B$263,C$1,Scores!$D$2:$D$263,"doctrine"),"")</f>
        <v/>
      </c>
      <c r="D12" s="12" t="str">
        <f aca="false">IFERROR(AVERAGEIFS(Scores!$E$2:$E$263,Scores!$A$2:$A$263,$A12,Scores!$B$2:$B$263,D$1,Scores!$D$2:$D$263,"doctrine"),"")</f>
        <v/>
      </c>
      <c r="E12" s="12" t="str">
        <f aca="false">IFERROR(AVERAGEIFS(Scores!$E$2:$E$263,Scores!$A$2:$A$263,$A12,Scores!$B$2:$B$263,E$1,Scores!$D$2:$D$263,"doctrine"),"")</f>
        <v/>
      </c>
      <c r="F12" s="12" t="str">
        <f aca="false">IFERROR(AVERAGEIFS(Scores!$E$2:$E$263,Scores!$A$2:$A$263,$A12,Scores!$B$2:$B$263,F$1,Scores!$D$2:$D$263,"doctrine"),"")</f>
        <v/>
      </c>
      <c r="G12" s="12" t="str">
        <f aca="false">IFERROR(AVERAGEIFS(Scores!$E$2:$E$263,Scores!$A$2:$A$263,$A12,Scores!$B$2:$B$263,G$1,Scores!$D$2:$D$263,"doctrine"),"")</f>
        <v/>
      </c>
      <c r="H12" s="12" t="str">
        <f aca="false">IFERROR(AVERAGEIFS(Scores!$E$2:$E$263,Scores!$A$2:$A$263,$A12,Scores!$B$2:$B$263,H$1,Scores!$D$2:$D$263,"doctrine"),"")</f>
        <v/>
      </c>
      <c r="I12" s="10" t="n">
        <f aca="false">COUNT(B12:H12)</f>
        <v>0</v>
      </c>
    </row>
    <row r="13" customFormat="false" ht="15" hidden="false" customHeight="false" outlineLevel="0" collapsed="false">
      <c r="A13" s="11" t="s">
        <v>188</v>
      </c>
      <c r="B13" s="12" t="str">
        <f aca="false">IFERROR(AVERAGEIFS(Scores!$E$2:$E$263,Scores!$A$2:$A$263,$A13,Scores!$B$2:$B$263,B$1,Scores!$D$2:$D$263,"doctrine"),"")</f>
        <v/>
      </c>
      <c r="C13" s="12" t="str">
        <f aca="false">IFERROR(AVERAGEIFS(Scores!$E$2:$E$263,Scores!$A$2:$A$263,$A13,Scores!$B$2:$B$263,C$1,Scores!$D$2:$D$263,"doctrine"),"")</f>
        <v/>
      </c>
      <c r="D13" s="12" t="str">
        <f aca="false">IFERROR(AVERAGEIFS(Scores!$E$2:$E$263,Scores!$A$2:$A$263,$A13,Scores!$B$2:$B$263,D$1,Scores!$D$2:$D$263,"doctrine"),"")</f>
        <v/>
      </c>
      <c r="E13" s="12" t="str">
        <f aca="false">IFERROR(AVERAGEIFS(Scores!$E$2:$E$263,Scores!$A$2:$A$263,$A13,Scores!$B$2:$B$263,E$1,Scores!$D$2:$D$263,"doctrine"),"")</f>
        <v/>
      </c>
      <c r="F13" s="12" t="str">
        <f aca="false">IFERROR(AVERAGEIFS(Scores!$E$2:$E$263,Scores!$A$2:$A$263,$A13,Scores!$B$2:$B$263,F$1,Scores!$D$2:$D$263,"doctrine"),"")</f>
        <v/>
      </c>
      <c r="G13" s="12" t="str">
        <f aca="false">IFERROR(AVERAGEIFS(Scores!$E$2:$E$263,Scores!$A$2:$A$263,$A13,Scores!$B$2:$B$263,G$1,Scores!$D$2:$D$263,"doctrine"),"")</f>
        <v/>
      </c>
      <c r="H13" s="12" t="str">
        <f aca="false">IFERROR(AVERAGEIFS(Scores!$E$2:$E$263,Scores!$A$2:$A$263,$A13,Scores!$B$2:$B$263,H$1,Scores!$D$2:$D$263,"doctrine"),"")</f>
        <v/>
      </c>
      <c r="I13" s="10" t="n">
        <f aca="false">COUNT(B13:H13)</f>
        <v>0</v>
      </c>
    </row>
    <row r="14" customFormat="false" ht="15" hidden="false" customHeight="false" outlineLevel="0" collapsed="false">
      <c r="A14" s="11" t="s">
        <v>203</v>
      </c>
      <c r="B14" s="12" t="str">
        <f aca="false">IFERROR(AVERAGEIFS(Scores!$E$2:$E$263,Scores!$A$2:$A$263,$A14,Scores!$B$2:$B$263,B$1,Scores!$D$2:$D$263,"doctrine"),"")</f>
        <v/>
      </c>
      <c r="C14" s="12" t="str">
        <f aca="false">IFERROR(AVERAGEIFS(Scores!$E$2:$E$263,Scores!$A$2:$A$263,$A14,Scores!$B$2:$B$263,C$1,Scores!$D$2:$D$263,"doctrine"),"")</f>
        <v/>
      </c>
      <c r="D14" s="12" t="str">
        <f aca="false">IFERROR(AVERAGEIFS(Scores!$E$2:$E$263,Scores!$A$2:$A$263,$A14,Scores!$B$2:$B$263,D$1,Scores!$D$2:$D$263,"doctrine"),"")</f>
        <v/>
      </c>
      <c r="E14" s="12" t="str">
        <f aca="false">IFERROR(AVERAGEIFS(Scores!$E$2:$E$263,Scores!$A$2:$A$263,$A14,Scores!$B$2:$B$263,E$1,Scores!$D$2:$D$263,"doctrine"),"")</f>
        <v/>
      </c>
      <c r="F14" s="12" t="str">
        <f aca="false">IFERROR(AVERAGEIFS(Scores!$E$2:$E$263,Scores!$A$2:$A$263,$A14,Scores!$B$2:$B$263,F$1,Scores!$D$2:$D$263,"doctrine"),"")</f>
        <v/>
      </c>
      <c r="G14" s="12" t="str">
        <f aca="false">IFERROR(AVERAGEIFS(Scores!$E$2:$E$263,Scores!$A$2:$A$263,$A14,Scores!$B$2:$B$263,G$1,Scores!$D$2:$D$263,"doctrine"),"")</f>
        <v/>
      </c>
      <c r="H14" s="12" t="str">
        <f aca="false">IFERROR(AVERAGEIFS(Scores!$E$2:$E$263,Scores!$A$2:$A$263,$A14,Scores!$B$2:$B$263,H$1,Scores!$D$2:$D$263,"doctrine"),"")</f>
        <v/>
      </c>
      <c r="I14" s="10" t="n">
        <f aca="false">COUNT(B14:H14)</f>
        <v>0</v>
      </c>
    </row>
    <row r="15" customFormat="false" ht="15" hidden="false" customHeight="false" outlineLevel="0" collapsed="false">
      <c r="A15" s="11" t="s">
        <v>210</v>
      </c>
      <c r="B15" s="12" t="str">
        <f aca="false">IFERROR(AVERAGEIFS(Scores!$E$2:$E$263,Scores!$A$2:$A$263,$A15,Scores!$B$2:$B$263,B$1,Scores!$D$2:$D$263,"doctrine"),"")</f>
        <v/>
      </c>
      <c r="C15" s="12" t="str">
        <f aca="false">IFERROR(AVERAGEIFS(Scores!$E$2:$E$263,Scores!$A$2:$A$263,$A15,Scores!$B$2:$B$263,C$1,Scores!$D$2:$D$263,"doctrine"),"")</f>
        <v/>
      </c>
      <c r="D15" s="12" t="str">
        <f aca="false">IFERROR(AVERAGEIFS(Scores!$E$2:$E$263,Scores!$A$2:$A$263,$A15,Scores!$B$2:$B$263,D$1,Scores!$D$2:$D$263,"doctrine"),"")</f>
        <v/>
      </c>
      <c r="E15" s="12" t="str">
        <f aca="false">IFERROR(AVERAGEIFS(Scores!$E$2:$E$263,Scores!$A$2:$A$263,$A15,Scores!$B$2:$B$263,E$1,Scores!$D$2:$D$263,"doctrine"),"")</f>
        <v/>
      </c>
      <c r="F15" s="12" t="str">
        <f aca="false">IFERROR(AVERAGEIFS(Scores!$E$2:$E$263,Scores!$A$2:$A$263,$A15,Scores!$B$2:$B$263,F$1,Scores!$D$2:$D$263,"doctrine"),"")</f>
        <v/>
      </c>
      <c r="G15" s="12" t="str">
        <f aca="false">IFERROR(AVERAGEIFS(Scores!$E$2:$E$263,Scores!$A$2:$A$263,$A15,Scores!$B$2:$B$263,G$1,Scores!$D$2:$D$263,"doctrine"),"")</f>
        <v/>
      </c>
      <c r="H15" s="12" t="str">
        <f aca="false">IFERROR(AVERAGEIFS(Scores!$E$2:$E$263,Scores!$A$2:$A$263,$A15,Scores!$B$2:$B$263,H$1,Scores!$D$2:$D$263,"doctrine"),"")</f>
        <v/>
      </c>
      <c r="I15" s="10" t="n">
        <f aca="false">COUNT(B15:H15)</f>
        <v>0</v>
      </c>
    </row>
    <row r="16" customFormat="false" ht="15" hidden="false" customHeight="false" outlineLevel="0" collapsed="false">
      <c r="A16" s="11" t="s">
        <v>226</v>
      </c>
      <c r="B16" s="12" t="str">
        <f aca="false">IFERROR(AVERAGEIFS(Scores!$E$2:$E$263,Scores!$A$2:$A$263,$A16,Scores!$B$2:$B$263,B$1,Scores!$D$2:$D$263,"doctrine"),"")</f>
        <v/>
      </c>
      <c r="C16" s="12" t="str">
        <f aca="false">IFERROR(AVERAGEIFS(Scores!$E$2:$E$263,Scores!$A$2:$A$263,$A16,Scores!$B$2:$B$263,C$1,Scores!$D$2:$D$263,"doctrine"),"")</f>
        <v/>
      </c>
      <c r="D16" s="12" t="str">
        <f aca="false">IFERROR(AVERAGEIFS(Scores!$E$2:$E$263,Scores!$A$2:$A$263,$A16,Scores!$B$2:$B$263,D$1,Scores!$D$2:$D$263,"doctrine"),"")</f>
        <v/>
      </c>
      <c r="E16" s="12" t="str">
        <f aca="false">IFERROR(AVERAGEIFS(Scores!$E$2:$E$263,Scores!$A$2:$A$263,$A16,Scores!$B$2:$B$263,E$1,Scores!$D$2:$D$263,"doctrine"),"")</f>
        <v/>
      </c>
      <c r="F16" s="12" t="str">
        <f aca="false">IFERROR(AVERAGEIFS(Scores!$E$2:$E$263,Scores!$A$2:$A$263,$A16,Scores!$B$2:$B$263,F$1,Scores!$D$2:$D$263,"doctrine"),"")</f>
        <v/>
      </c>
      <c r="G16" s="12" t="str">
        <f aca="false">IFERROR(AVERAGEIFS(Scores!$E$2:$E$263,Scores!$A$2:$A$263,$A16,Scores!$B$2:$B$263,G$1,Scores!$D$2:$D$263,"doctrine"),"")</f>
        <v/>
      </c>
      <c r="H16" s="12" t="str">
        <f aca="false">IFERROR(AVERAGEIFS(Scores!$E$2:$E$263,Scores!$A$2:$A$263,$A16,Scores!$B$2:$B$263,H$1,Scores!$D$2:$D$263,"doctrine"),"")</f>
        <v/>
      </c>
      <c r="I16" s="10" t="n">
        <f aca="false">COUNT(B16:H16)</f>
        <v>0</v>
      </c>
    </row>
    <row r="17" customFormat="false" ht="15" hidden="false" customHeight="false" outlineLevel="0" collapsed="false">
      <c r="A17" s="11" t="s">
        <v>234</v>
      </c>
      <c r="B17" s="12" t="str">
        <f aca="false">IFERROR(AVERAGEIFS(Scores!$E$2:$E$263,Scores!$A$2:$A$263,$A17,Scores!$B$2:$B$263,B$1,Scores!$D$2:$D$263,"doctrine"),"")</f>
        <v/>
      </c>
      <c r="C17" s="12" t="str">
        <f aca="false">IFERROR(AVERAGEIFS(Scores!$E$2:$E$263,Scores!$A$2:$A$263,$A17,Scores!$B$2:$B$263,C$1,Scores!$D$2:$D$263,"doctrine"),"")</f>
        <v/>
      </c>
      <c r="D17" s="12" t="str">
        <f aca="false">IFERROR(AVERAGEIFS(Scores!$E$2:$E$263,Scores!$A$2:$A$263,$A17,Scores!$B$2:$B$263,D$1,Scores!$D$2:$D$263,"doctrine"),"")</f>
        <v/>
      </c>
      <c r="E17" s="12" t="str">
        <f aca="false">IFERROR(AVERAGEIFS(Scores!$E$2:$E$263,Scores!$A$2:$A$263,$A17,Scores!$B$2:$B$263,E$1,Scores!$D$2:$D$263,"doctrine"),"")</f>
        <v/>
      </c>
      <c r="F17" s="12" t="str">
        <f aca="false">IFERROR(AVERAGEIFS(Scores!$E$2:$E$263,Scores!$A$2:$A$263,$A17,Scores!$B$2:$B$263,F$1,Scores!$D$2:$D$263,"doctrine"),"")</f>
        <v/>
      </c>
      <c r="G17" s="12" t="str">
        <f aca="false">IFERROR(AVERAGEIFS(Scores!$E$2:$E$263,Scores!$A$2:$A$263,$A17,Scores!$B$2:$B$263,G$1,Scores!$D$2:$D$263,"doctrine"),"")</f>
        <v/>
      </c>
      <c r="H17" s="12" t="str">
        <f aca="false">IFERROR(AVERAGEIFS(Scores!$E$2:$E$263,Scores!$A$2:$A$263,$A17,Scores!$B$2:$B$263,H$1,Scores!$D$2:$D$263,"doctrine"),"")</f>
        <v/>
      </c>
      <c r="I17" s="10" t="n">
        <f aca="false">COUNT(B17:H17)</f>
        <v>0</v>
      </c>
    </row>
    <row r="19" customFormat="false" ht="57.45" hidden="false" customHeight="false" outlineLevel="0" collapsed="false">
      <c r="A19" s="8" t="s">
        <v>326</v>
      </c>
    </row>
  </sheetData>
  <conditionalFormatting sqref="B2:H17">
    <cfRule type="colorScale" priority="2">
      <colorScale>
        <cfvo type="num" val="0"/>
        <cfvo type="num" val="5"/>
        <cfvo type="num" val="10"/>
        <color rgb="FFB3263E"/>
        <color rgb="FFFFFFFF"/>
        <color rgb="FFC9940A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</cols>
  <sheetData>
    <row r="1" customFormat="false" ht="30" hidden="false" customHeight="true" outlineLevel="0" collapsed="false">
      <c r="A1" s="7" t="s">
        <v>327</v>
      </c>
      <c r="B1" s="7" t="s">
        <v>328</v>
      </c>
      <c r="C1" s="7" t="s">
        <v>50</v>
      </c>
      <c r="D1" s="7" t="s">
        <v>329</v>
      </c>
      <c r="E1" s="7" t="s">
        <v>330</v>
      </c>
      <c r="F1" s="7" t="s">
        <v>331</v>
      </c>
      <c r="G1" s="7" t="s">
        <v>332</v>
      </c>
      <c r="H1" s="7" t="s">
        <v>333</v>
      </c>
    </row>
    <row r="2" customFormat="false" ht="15" hidden="false" customHeight="false" outlineLevel="0" collapsed="false">
      <c r="A2" s="8" t="s">
        <v>63</v>
      </c>
      <c r="B2" s="8" t="s">
        <v>334</v>
      </c>
      <c r="C2" s="8" t="s">
        <v>335</v>
      </c>
      <c r="D2" s="8" t="s">
        <v>336</v>
      </c>
      <c r="E2" s="8" t="s">
        <v>252</v>
      </c>
      <c r="F2" s="8" t="s">
        <v>324</v>
      </c>
      <c r="G2" s="8" t="s">
        <v>65</v>
      </c>
      <c r="H2" s="8" t="s">
        <v>64</v>
      </c>
    </row>
    <row r="3" customFormat="false" ht="15" hidden="false" customHeight="false" outlineLevel="0" collapsed="false">
      <c r="A3" s="8" t="s">
        <v>82</v>
      </c>
      <c r="B3" s="8" t="s">
        <v>337</v>
      </c>
      <c r="C3" s="8" t="s">
        <v>338</v>
      </c>
      <c r="D3" s="8" t="s">
        <v>339</v>
      </c>
      <c r="E3" s="8" t="s">
        <v>253</v>
      </c>
      <c r="F3" s="8" t="s">
        <v>340</v>
      </c>
      <c r="G3" s="8" t="s">
        <v>194</v>
      </c>
      <c r="H3" s="8" t="s">
        <v>71</v>
      </c>
    </row>
    <row r="4" customFormat="false" ht="15" hidden="false" customHeight="false" outlineLevel="0" collapsed="false">
      <c r="A4" s="8" t="s">
        <v>91</v>
      </c>
      <c r="B4" s="8" t="s">
        <v>341</v>
      </c>
      <c r="C4" s="8" t="s">
        <v>342</v>
      </c>
      <c r="D4" s="8" t="s">
        <v>243</v>
      </c>
      <c r="E4" s="8" t="s">
        <v>343</v>
      </c>
      <c r="G4" s="8" t="s">
        <v>344</v>
      </c>
    </row>
    <row r="5" customFormat="false" ht="15" hidden="false" customHeight="false" outlineLevel="0" collapsed="false">
      <c r="A5" s="8" t="s">
        <v>96</v>
      </c>
      <c r="B5" s="8" t="s">
        <v>345</v>
      </c>
      <c r="C5" s="8" t="s">
        <v>346</v>
      </c>
      <c r="D5" s="8" t="s">
        <v>347</v>
      </c>
      <c r="E5" s="8" t="s">
        <v>348</v>
      </c>
      <c r="G5" s="8" t="s">
        <v>349</v>
      </c>
    </row>
    <row r="6" customFormat="false" ht="15" hidden="false" customHeight="false" outlineLevel="0" collapsed="false">
      <c r="A6" s="8" t="s">
        <v>121</v>
      </c>
      <c r="B6" s="8" t="s">
        <v>350</v>
      </c>
      <c r="C6" s="8" t="s">
        <v>351</v>
      </c>
    </row>
    <row r="7" customFormat="false" ht="15" hidden="false" customHeight="false" outlineLevel="0" collapsed="false">
      <c r="A7" s="8" t="s">
        <v>99</v>
      </c>
      <c r="B7" s="8" t="s">
        <v>352</v>
      </c>
    </row>
    <row r="8" customFormat="false" ht="15" hidden="false" customHeight="false" outlineLevel="0" collapsed="false">
      <c r="A8" s="8" t="s">
        <v>152</v>
      </c>
      <c r="B8" s="8" t="s">
        <v>353</v>
      </c>
    </row>
    <row r="9" customFormat="false" ht="15" hidden="false" customHeight="false" outlineLevel="0" collapsed="false">
      <c r="A9" s="8" t="s">
        <v>139</v>
      </c>
      <c r="B9" s="8" t="s">
        <v>354</v>
      </c>
    </row>
    <row r="10" customFormat="false" ht="15" hidden="false" customHeight="false" outlineLevel="0" collapsed="false">
      <c r="A10" s="8" t="s">
        <v>142</v>
      </c>
      <c r="B10" s="8" t="s">
        <v>355</v>
      </c>
    </row>
    <row r="11" customFormat="false" ht="15" hidden="false" customHeight="false" outlineLevel="0" collapsed="false">
      <c r="A11" s="8" t="s">
        <v>130</v>
      </c>
      <c r="B11" s="8" t="s">
        <v>356</v>
      </c>
    </row>
    <row r="12" customFormat="false" ht="15" hidden="false" customHeight="false" outlineLevel="0" collapsed="false">
      <c r="A12" s="8" t="s">
        <v>201</v>
      </c>
      <c r="B12" s="8" t="s">
        <v>357</v>
      </c>
    </row>
    <row r="13" customFormat="false" ht="15" hidden="false" customHeight="false" outlineLevel="0" collapsed="false">
      <c r="A13" s="8" t="s">
        <v>209</v>
      </c>
      <c r="B13" s="8" t="s">
        <v>358</v>
      </c>
    </row>
    <row r="14" customFormat="false" ht="15" hidden="false" customHeight="false" outlineLevel="0" collapsed="false">
      <c r="A14" s="8" t="s">
        <v>136</v>
      </c>
      <c r="B14" s="8" t="s">
        <v>359</v>
      </c>
    </row>
    <row r="15" customFormat="false" ht="15" hidden="false" customHeight="false" outlineLevel="0" collapsed="false">
      <c r="A15" s="8" t="s">
        <v>159</v>
      </c>
      <c r="B15" s="8" t="s">
        <v>360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2026-10-21T20:41:09Z</dcterms:created>
  <dc:creator>openpyxl</dc:creator>
  <dc:description/>
  <dc:language>en-US</dc:language>
  <cp:lastModifiedBy/>
  <dcterms:modified xsi:type="dcterms:W3CDTF">2026-10-21T20:41:09Z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